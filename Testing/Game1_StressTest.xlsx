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sumitbarua/Documents/UnityProjects/RAProjects/CiteGuardVR/Testing/"/>
    </mc:Choice>
  </mc:AlternateContent>
  <xr:revisionPtr revIDLastSave="0" documentId="13_ncr:1_{DF30B506-B991-894A-A703-14B03F814D02}" xr6:coauthVersionLast="47" xr6:coauthVersionMax="47" xr10:uidLastSave="{00000000-0000-0000-0000-000000000000}"/>
  <bookViews>
    <workbookView xWindow="-38400" yWindow="0" windowWidth="38400" windowHeight="21600" activeTab="6" xr2:uid="{00000000-000D-0000-FFFF-FFFF00000000}"/>
  </bookViews>
  <sheets>
    <sheet name="Dashboard" sheetId="1" r:id="rId1"/>
    <sheet name="Test Guide" sheetId="2" r:id="rId2"/>
    <sheet name="Mission Evidence Map" sheetId="3" r:id="rId3"/>
    <sheet name="Ranking Stress Tests" sheetId="4" r:id="rId4"/>
    <sheet name="Validation Branch Tests" sheetId="5" r:id="rId5"/>
    <sheet name="Evidence Mutation Tests" sheetId="6" r:id="rId6"/>
    <sheet name="Session Flow Test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78" i="4" l="1"/>
  <c r="N125" i="4"/>
  <c r="M125" i="4"/>
  <c r="O125" i="4" s="1"/>
  <c r="Q124" i="4"/>
  <c r="O124" i="4"/>
  <c r="N124" i="4"/>
  <c r="M124" i="4"/>
  <c r="N123" i="4"/>
  <c r="Q123" i="4" s="1"/>
  <c r="M123" i="4"/>
  <c r="W122" i="4"/>
  <c r="V122" i="4"/>
  <c r="Q122" i="4"/>
  <c r="N122" i="4"/>
  <c r="M122" i="4"/>
  <c r="O122" i="4" s="1"/>
  <c r="T121" i="4"/>
  <c r="Q121" i="4"/>
  <c r="P121" i="4"/>
  <c r="O121" i="4"/>
  <c r="N121" i="4"/>
  <c r="M121" i="4"/>
  <c r="N120" i="4"/>
  <c r="M120" i="4"/>
  <c r="O120" i="4" s="1"/>
  <c r="N119" i="4"/>
  <c r="M119" i="4"/>
  <c r="N118" i="4"/>
  <c r="O118" i="4" s="1"/>
  <c r="M118" i="4"/>
  <c r="W117" i="4"/>
  <c r="V117" i="4"/>
  <c r="S117" i="4"/>
  <c r="R117" i="4"/>
  <c r="Q117" i="4"/>
  <c r="P117" i="4"/>
  <c r="N117" i="4"/>
  <c r="M117" i="4"/>
  <c r="O117" i="4" s="1"/>
  <c r="T116" i="4"/>
  <c r="S116" i="4"/>
  <c r="P116" i="4"/>
  <c r="O116" i="4"/>
  <c r="N116" i="4"/>
  <c r="M116" i="4"/>
  <c r="Q116" i="4" s="1"/>
  <c r="N115" i="4"/>
  <c r="O115" i="4" s="1"/>
  <c r="M115" i="4"/>
  <c r="Q114" i="4"/>
  <c r="P114" i="4"/>
  <c r="O114" i="4"/>
  <c r="N114" i="4"/>
  <c r="M114" i="4"/>
  <c r="N113" i="4"/>
  <c r="Q113" i="4" s="1"/>
  <c r="M113" i="4"/>
  <c r="N112" i="4"/>
  <c r="M112" i="4"/>
  <c r="X111" i="4"/>
  <c r="T111" i="4"/>
  <c r="Q111" i="4"/>
  <c r="O111" i="4"/>
  <c r="N111" i="4"/>
  <c r="M111" i="4"/>
  <c r="X110" i="4"/>
  <c r="W110" i="4"/>
  <c r="T110" i="4"/>
  <c r="S110" i="4"/>
  <c r="R110" i="4"/>
  <c r="N110" i="4"/>
  <c r="M110" i="4"/>
  <c r="O110" i="4" s="1"/>
  <c r="V109" i="4"/>
  <c r="T109" i="4"/>
  <c r="Q109" i="4"/>
  <c r="P109" i="4"/>
  <c r="N109" i="4"/>
  <c r="M109" i="4"/>
  <c r="O109" i="4" s="1"/>
  <c r="N108" i="4"/>
  <c r="O108" i="4" s="1"/>
  <c r="M108" i="4"/>
  <c r="N107" i="4"/>
  <c r="M107" i="4"/>
  <c r="Q106" i="4"/>
  <c r="O106" i="4"/>
  <c r="N106" i="4"/>
  <c r="M106" i="4"/>
  <c r="N105" i="4"/>
  <c r="M105" i="4"/>
  <c r="Q105" i="4" s="1"/>
  <c r="N104" i="4"/>
  <c r="M104" i="4"/>
  <c r="Q104" i="4" s="1"/>
  <c r="N103" i="4"/>
  <c r="O103" i="4" s="1"/>
  <c r="M103" i="4"/>
  <c r="Q103" i="4" s="1"/>
  <c r="N102" i="4"/>
  <c r="M102" i="4"/>
  <c r="O101" i="4"/>
  <c r="N101" i="4"/>
  <c r="Q101" i="4" s="1"/>
  <c r="M101" i="4"/>
  <c r="N100" i="4"/>
  <c r="M100" i="4"/>
  <c r="Q100" i="4" s="1"/>
  <c r="N99" i="4"/>
  <c r="M99" i="4"/>
  <c r="N98" i="4"/>
  <c r="M98" i="4"/>
  <c r="N97" i="4"/>
  <c r="M97" i="4"/>
  <c r="V96" i="4"/>
  <c r="T96" i="4"/>
  <c r="S96" i="4"/>
  <c r="Q96" i="4"/>
  <c r="O96" i="4"/>
  <c r="N96" i="4"/>
  <c r="M96" i="4"/>
  <c r="N95" i="4"/>
  <c r="M95" i="4"/>
  <c r="N94" i="4"/>
  <c r="M94" i="4"/>
  <c r="X93" i="4"/>
  <c r="T93" i="4"/>
  <c r="S93" i="4"/>
  <c r="O93" i="4"/>
  <c r="R93" i="4" s="1"/>
  <c r="N93" i="4"/>
  <c r="M93" i="4"/>
  <c r="Q93" i="4" s="1"/>
  <c r="N92" i="4"/>
  <c r="Q92" i="4" s="1"/>
  <c r="M92" i="4"/>
  <c r="Q91" i="4"/>
  <c r="N91" i="4"/>
  <c r="O91" i="4" s="1"/>
  <c r="T91" i="4" s="1"/>
  <c r="M91" i="4"/>
  <c r="S90" i="4"/>
  <c r="R90" i="4"/>
  <c r="N90" i="4"/>
  <c r="O90" i="4" s="1"/>
  <c r="M90" i="4"/>
  <c r="W89" i="4"/>
  <c r="V89" i="4"/>
  <c r="T89" i="4"/>
  <c r="R89" i="4"/>
  <c r="Q89" i="4"/>
  <c r="N89" i="4"/>
  <c r="M89" i="4"/>
  <c r="O89" i="4" s="1"/>
  <c r="P89" i="4" s="1"/>
  <c r="N88" i="4"/>
  <c r="M88" i="4"/>
  <c r="Q88" i="4" s="1"/>
  <c r="W87" i="4"/>
  <c r="V87" i="4"/>
  <c r="S87" i="4"/>
  <c r="R87" i="4"/>
  <c r="Q87" i="4"/>
  <c r="P87" i="4"/>
  <c r="N87" i="4"/>
  <c r="M87" i="4"/>
  <c r="O87" i="4" s="1"/>
  <c r="X87" i="4" s="1"/>
  <c r="Q86" i="4"/>
  <c r="O86" i="4"/>
  <c r="N86" i="4"/>
  <c r="M86" i="4"/>
  <c r="O85" i="4"/>
  <c r="R85" i="4" s="1"/>
  <c r="N85" i="4"/>
  <c r="M85" i="4"/>
  <c r="Q85" i="4" s="1"/>
  <c r="V84" i="4"/>
  <c r="Q84" i="4"/>
  <c r="P84" i="4"/>
  <c r="O84" i="4"/>
  <c r="N84" i="4"/>
  <c r="M84" i="4"/>
  <c r="O83" i="4"/>
  <c r="N83" i="4"/>
  <c r="M83" i="4"/>
  <c r="Q83" i="4" s="1"/>
  <c r="N82" i="4"/>
  <c r="Q82" i="4" s="1"/>
  <c r="M82" i="4"/>
  <c r="X81" i="4"/>
  <c r="T81" i="4"/>
  <c r="Q81" i="4"/>
  <c r="P81" i="4"/>
  <c r="O81" i="4"/>
  <c r="N81" i="4"/>
  <c r="M81" i="4"/>
  <c r="N80" i="4"/>
  <c r="Q80" i="4" s="1"/>
  <c r="M80" i="4"/>
  <c r="N79" i="4"/>
  <c r="M79" i="4"/>
  <c r="O79" i="4" s="1"/>
  <c r="P79" i="4" s="1"/>
  <c r="N78" i="4"/>
  <c r="M78" i="4"/>
  <c r="N77" i="4"/>
  <c r="M77" i="4"/>
  <c r="O77" i="4" s="1"/>
  <c r="V77" i="4" s="1"/>
  <c r="Q76" i="4"/>
  <c r="O76" i="4"/>
  <c r="P76" i="4" s="1"/>
  <c r="N76" i="4"/>
  <c r="M76" i="4"/>
  <c r="N75" i="4"/>
  <c r="M75" i="4"/>
  <c r="Q74" i="4"/>
  <c r="P74" i="4"/>
  <c r="O74" i="4"/>
  <c r="N74" i="4"/>
  <c r="M74" i="4"/>
  <c r="N73" i="4"/>
  <c r="O73" i="4" s="1"/>
  <c r="M73" i="4"/>
  <c r="Q73" i="4" s="1"/>
  <c r="N72" i="4"/>
  <c r="M72" i="4"/>
  <c r="N71" i="4"/>
  <c r="Q71" i="4" s="1"/>
  <c r="M71" i="4"/>
  <c r="Q70" i="4"/>
  <c r="N70" i="4"/>
  <c r="M70" i="4"/>
  <c r="O70" i="4" s="1"/>
  <c r="N69" i="4"/>
  <c r="M69" i="4"/>
  <c r="N68" i="4"/>
  <c r="O68" i="4" s="1"/>
  <c r="M68" i="4"/>
  <c r="N67" i="4"/>
  <c r="M67" i="4"/>
  <c r="O67" i="4" s="1"/>
  <c r="V66" i="4"/>
  <c r="T66" i="4"/>
  <c r="S66" i="4"/>
  <c r="Q66" i="4"/>
  <c r="P66" i="4"/>
  <c r="O66" i="4"/>
  <c r="N66" i="4"/>
  <c r="M66" i="4"/>
  <c r="N65" i="4"/>
  <c r="M65" i="4"/>
  <c r="N64" i="4"/>
  <c r="M64" i="4"/>
  <c r="N63" i="4"/>
  <c r="O63" i="4" s="1"/>
  <c r="R63" i="4" s="1"/>
  <c r="M63" i="4"/>
  <c r="Q63" i="4" s="1"/>
  <c r="X62" i="4"/>
  <c r="R62" i="4"/>
  <c r="Q62" i="4"/>
  <c r="N62" i="4"/>
  <c r="M62" i="4"/>
  <c r="O62" i="4" s="1"/>
  <c r="Q61" i="4"/>
  <c r="O61" i="4"/>
  <c r="N61" i="4"/>
  <c r="M61" i="4"/>
  <c r="N60" i="4"/>
  <c r="M60" i="4"/>
  <c r="Q60" i="4" s="1"/>
  <c r="W59" i="4"/>
  <c r="V59" i="4"/>
  <c r="T59" i="4"/>
  <c r="R59" i="4"/>
  <c r="Q59" i="4"/>
  <c r="P59" i="4"/>
  <c r="N59" i="4"/>
  <c r="M59" i="4"/>
  <c r="O59" i="4" s="1"/>
  <c r="X58" i="4"/>
  <c r="W58" i="4"/>
  <c r="T58" i="4"/>
  <c r="N58" i="4"/>
  <c r="O58" i="4" s="1"/>
  <c r="M58" i="4"/>
  <c r="Q57" i="4"/>
  <c r="N57" i="4"/>
  <c r="M57" i="4"/>
  <c r="V56" i="4"/>
  <c r="T56" i="4"/>
  <c r="S56" i="4"/>
  <c r="Q56" i="4"/>
  <c r="P56" i="4"/>
  <c r="O56" i="4"/>
  <c r="N56" i="4"/>
  <c r="M56" i="4"/>
  <c r="N55" i="4"/>
  <c r="M55" i="4"/>
  <c r="Q54" i="4"/>
  <c r="N54" i="4"/>
  <c r="M54" i="4"/>
  <c r="O54" i="4" s="1"/>
  <c r="X53" i="4"/>
  <c r="N53" i="4"/>
  <c r="O53" i="4" s="1"/>
  <c r="M53" i="4"/>
  <c r="Q53" i="4" s="1"/>
  <c r="W52" i="4"/>
  <c r="V52" i="4"/>
  <c r="S52" i="4"/>
  <c r="R52" i="4"/>
  <c r="N52" i="4"/>
  <c r="M52" i="4"/>
  <c r="O52" i="4" s="1"/>
  <c r="Q51" i="4"/>
  <c r="O51" i="4"/>
  <c r="N51" i="4"/>
  <c r="M51" i="4"/>
  <c r="Q50" i="4"/>
  <c r="O50" i="4"/>
  <c r="N50" i="4"/>
  <c r="M50" i="4"/>
  <c r="T49" i="4"/>
  <c r="N49" i="4"/>
  <c r="M49" i="4"/>
  <c r="O49" i="4" s="1"/>
  <c r="P49" i="4" s="1"/>
  <c r="S48" i="4"/>
  <c r="R48" i="4"/>
  <c r="Q48" i="4"/>
  <c r="P48" i="4"/>
  <c r="O48" i="4"/>
  <c r="N48" i="4"/>
  <c r="M48" i="4"/>
  <c r="N47" i="4"/>
  <c r="Q47" i="4" s="1"/>
  <c r="M47" i="4"/>
  <c r="Q46" i="4"/>
  <c r="P46" i="4"/>
  <c r="N46" i="4"/>
  <c r="M46" i="4"/>
  <c r="O46" i="4" s="1"/>
  <c r="N45" i="4"/>
  <c r="M45" i="4"/>
  <c r="N44" i="4"/>
  <c r="M44" i="4"/>
  <c r="N43" i="4"/>
  <c r="M43" i="4"/>
  <c r="N42" i="4"/>
  <c r="Q42" i="4" s="1"/>
  <c r="M42" i="4"/>
  <c r="X41" i="4"/>
  <c r="V41" i="4"/>
  <c r="U41" i="4"/>
  <c r="T41" i="4"/>
  <c r="S41" i="4"/>
  <c r="R41" i="4"/>
  <c r="Q41" i="4"/>
  <c r="P41" i="4"/>
  <c r="O41" i="4"/>
  <c r="W41" i="4" s="1"/>
  <c r="N41" i="4"/>
  <c r="M41" i="4"/>
  <c r="N40" i="4"/>
  <c r="M40" i="4"/>
  <c r="N39" i="4"/>
  <c r="M39" i="4"/>
  <c r="Q39" i="4" s="1"/>
  <c r="X38" i="4"/>
  <c r="W38" i="4"/>
  <c r="Q38" i="4"/>
  <c r="N38" i="4"/>
  <c r="M38" i="4"/>
  <c r="O38" i="4" s="1"/>
  <c r="Q37" i="4"/>
  <c r="N37" i="4"/>
  <c r="M37" i="4"/>
  <c r="Q36" i="4"/>
  <c r="O36" i="4"/>
  <c r="N36" i="4"/>
  <c r="M36" i="4"/>
  <c r="N35" i="4"/>
  <c r="M35" i="4"/>
  <c r="O35" i="4" s="1"/>
  <c r="R35" i="4" s="1"/>
  <c r="O34" i="4"/>
  <c r="N34" i="4"/>
  <c r="M34" i="4"/>
  <c r="Q34" i="4" s="1"/>
  <c r="N33" i="4"/>
  <c r="M33" i="4"/>
  <c r="N32" i="4"/>
  <c r="M32" i="4"/>
  <c r="T31" i="4"/>
  <c r="S31" i="4"/>
  <c r="R31" i="4"/>
  <c r="Q31" i="4"/>
  <c r="O31" i="4"/>
  <c r="N31" i="4"/>
  <c r="M31" i="4"/>
  <c r="N30" i="4"/>
  <c r="M30" i="4"/>
  <c r="N29" i="4"/>
  <c r="M29" i="4"/>
  <c r="Q29" i="4" s="1"/>
  <c r="X28" i="4"/>
  <c r="W28" i="4"/>
  <c r="Q28" i="4"/>
  <c r="P28" i="4"/>
  <c r="O28" i="4"/>
  <c r="N28" i="4"/>
  <c r="M28" i="4"/>
  <c r="Q27" i="4"/>
  <c r="N27" i="4"/>
  <c r="M27" i="4"/>
  <c r="N26" i="4"/>
  <c r="Q26" i="4" s="1"/>
  <c r="M26" i="4"/>
  <c r="Q25" i="4"/>
  <c r="P25" i="4"/>
  <c r="N25" i="4"/>
  <c r="M25" i="4"/>
  <c r="O25" i="4" s="1"/>
  <c r="N24" i="4"/>
  <c r="M24" i="4"/>
  <c r="N23" i="4"/>
  <c r="M23" i="4"/>
  <c r="X22" i="4"/>
  <c r="O22" i="4"/>
  <c r="N22" i="4"/>
  <c r="Q22" i="4" s="1"/>
  <c r="M22" i="4"/>
  <c r="N21" i="4"/>
  <c r="M21" i="4"/>
  <c r="N20" i="4"/>
  <c r="M20" i="4"/>
  <c r="N19" i="4"/>
  <c r="M19" i="4"/>
  <c r="V18" i="4"/>
  <c r="T18" i="4"/>
  <c r="Q18" i="4"/>
  <c r="N18" i="4"/>
  <c r="M18" i="4"/>
  <c r="O18" i="4" s="1"/>
  <c r="N17" i="4"/>
  <c r="M17" i="4"/>
  <c r="N16" i="4"/>
  <c r="M16" i="4"/>
  <c r="T15" i="4"/>
  <c r="S15" i="4"/>
  <c r="R15" i="4"/>
  <c r="Q15" i="4"/>
  <c r="O15" i="4"/>
  <c r="N15" i="4"/>
  <c r="M15" i="4"/>
  <c r="N14" i="4"/>
  <c r="M14" i="4"/>
  <c r="N13" i="4"/>
  <c r="M13" i="4"/>
  <c r="Q13" i="4" s="1"/>
  <c r="Q12" i="4"/>
  <c r="N12" i="4"/>
  <c r="M12" i="4"/>
  <c r="O12" i="4" s="1"/>
  <c r="N11" i="4"/>
  <c r="Q11" i="4" s="1"/>
  <c r="M11" i="4"/>
  <c r="V10" i="4"/>
  <c r="T10" i="4"/>
  <c r="S10" i="4"/>
  <c r="Q10" i="4"/>
  <c r="P10" i="4"/>
  <c r="U10" i="4" s="1"/>
  <c r="O10" i="4"/>
  <c r="R10" i="4" s="1"/>
  <c r="N10" i="4"/>
  <c r="M10" i="4"/>
  <c r="W9" i="4"/>
  <c r="N9" i="4"/>
  <c r="M9" i="4"/>
  <c r="O9" i="4" s="1"/>
  <c r="V9" i="4" s="1"/>
  <c r="N8" i="4"/>
  <c r="M8" i="4"/>
  <c r="N7" i="4"/>
  <c r="M7" i="4"/>
  <c r="Q7" i="4" s="1"/>
  <c r="N6" i="4"/>
  <c r="Q6" i="4" s="1"/>
  <c r="M6" i="4"/>
  <c r="B10" i="1"/>
  <c r="B17" i="1" s="1"/>
  <c r="B9" i="1"/>
  <c r="B16" i="1" s="1"/>
  <c r="B8" i="1"/>
  <c r="B15" i="1" s="1"/>
  <c r="B7" i="1"/>
  <c r="B14" i="1" s="1"/>
  <c r="B6" i="1"/>
  <c r="V108" i="4" l="1"/>
  <c r="R108" i="4"/>
  <c r="X108" i="4"/>
  <c r="W108" i="4"/>
  <c r="T108" i="4"/>
  <c r="P108" i="4"/>
  <c r="U108" i="4" s="1"/>
  <c r="S108" i="4"/>
  <c r="T115" i="4"/>
  <c r="P115" i="4"/>
  <c r="X115" i="4"/>
  <c r="W115" i="4"/>
  <c r="V115" i="4"/>
  <c r="R115" i="4"/>
  <c r="S115" i="4"/>
  <c r="U76" i="4"/>
  <c r="V12" i="4"/>
  <c r="R12" i="4"/>
  <c r="T12" i="4"/>
  <c r="S12" i="4"/>
  <c r="W12" i="4"/>
  <c r="X12" i="4"/>
  <c r="P12" i="4"/>
  <c r="U12" i="4" s="1"/>
  <c r="W22" i="4"/>
  <c r="V22" i="4"/>
  <c r="S22" i="4"/>
  <c r="P22" i="4"/>
  <c r="R22" i="4"/>
  <c r="T22" i="4"/>
  <c r="X25" i="4"/>
  <c r="V25" i="4"/>
  <c r="T25" i="4"/>
  <c r="R25" i="4"/>
  <c r="U25" i="4" s="1"/>
  <c r="S25" i="4"/>
  <c r="W25" i="4"/>
  <c r="X34" i="4"/>
  <c r="R34" i="4"/>
  <c r="P34" i="4"/>
  <c r="W34" i="4"/>
  <c r="V34" i="4"/>
  <c r="S34" i="4"/>
  <c r="T34" i="4"/>
  <c r="P50" i="4"/>
  <c r="V50" i="4"/>
  <c r="X50" i="4"/>
  <c r="W50" i="4"/>
  <c r="R50" i="4"/>
  <c r="T50" i="4"/>
  <c r="S50" i="4"/>
  <c r="Q78" i="4"/>
  <c r="O78" i="4"/>
  <c r="P70" i="4"/>
  <c r="V70" i="4"/>
  <c r="T70" i="4"/>
  <c r="R70" i="4"/>
  <c r="W70" i="4"/>
  <c r="X70" i="4"/>
  <c r="R106" i="4"/>
  <c r="X106" i="4"/>
  <c r="W106" i="4"/>
  <c r="T106" i="4"/>
  <c r="S106" i="4"/>
  <c r="V106" i="4"/>
  <c r="W103" i="4"/>
  <c r="V103" i="4"/>
  <c r="T103" i="4"/>
  <c r="S103" i="4"/>
  <c r="R103" i="4"/>
  <c r="P103" i="4"/>
  <c r="P106" i="4"/>
  <c r="Q32" i="4"/>
  <c r="O32" i="4"/>
  <c r="Q17" i="4"/>
  <c r="O17" i="4"/>
  <c r="W83" i="4"/>
  <c r="V83" i="4"/>
  <c r="X83" i="4"/>
  <c r="S83" i="4"/>
  <c r="R83" i="4"/>
  <c r="P83" i="4"/>
  <c r="X103" i="4"/>
  <c r="V118" i="4"/>
  <c r="R118" i="4"/>
  <c r="P118" i="4"/>
  <c r="X118" i="4"/>
  <c r="W118" i="4"/>
  <c r="O19" i="4"/>
  <c r="Q19" i="4"/>
  <c r="W101" i="4"/>
  <c r="S101" i="4"/>
  <c r="R101" i="4"/>
  <c r="T101" i="4"/>
  <c r="P101" i="4"/>
  <c r="U101" i="4" s="1"/>
  <c r="O113" i="4"/>
  <c r="S118" i="4"/>
  <c r="T118" i="4"/>
  <c r="T67" i="4"/>
  <c r="R67" i="4"/>
  <c r="P67" i="4"/>
  <c r="S67" i="4"/>
  <c r="X67" i="4"/>
  <c r="W67" i="4"/>
  <c r="V67" i="4"/>
  <c r="Q35" i="4"/>
  <c r="Q44" i="4"/>
  <c r="O44" i="4"/>
  <c r="S70" i="4"/>
  <c r="T83" i="4"/>
  <c r="W61" i="4"/>
  <c r="S61" i="4"/>
  <c r="R61" i="4"/>
  <c r="T61" i="4"/>
  <c r="X61" i="4"/>
  <c r="V61" i="4"/>
  <c r="Q24" i="4"/>
  <c r="O24" i="4"/>
  <c r="R36" i="4"/>
  <c r="Y36" i="4"/>
  <c r="X36" i="4"/>
  <c r="W36" i="4"/>
  <c r="V36" i="4"/>
  <c r="T36" i="4"/>
  <c r="S36" i="4"/>
  <c r="X54" i="4"/>
  <c r="T54" i="4"/>
  <c r="S54" i="4"/>
  <c r="V54" i="4"/>
  <c r="R54" i="4"/>
  <c r="W54" i="4"/>
  <c r="U56" i="4"/>
  <c r="X68" i="4"/>
  <c r="O71" i="4"/>
  <c r="R86" i="4"/>
  <c r="X86" i="4"/>
  <c r="W86" i="4"/>
  <c r="V86" i="4"/>
  <c r="T86" i="4"/>
  <c r="S86" i="4"/>
  <c r="X101" i="4"/>
  <c r="O14" i="4"/>
  <c r="Q14" i="4"/>
  <c r="P35" i="4"/>
  <c r="X35" i="4"/>
  <c r="W35" i="4"/>
  <c r="T35" i="4"/>
  <c r="V35" i="4"/>
  <c r="S35" i="4"/>
  <c r="U48" i="4"/>
  <c r="O7" i="4"/>
  <c r="Q23" i="4"/>
  <c r="O23" i="4"/>
  <c r="W73" i="4"/>
  <c r="V73" i="4"/>
  <c r="S73" i="4"/>
  <c r="X73" i="4"/>
  <c r="T73" i="4"/>
  <c r="R73" i="4"/>
  <c r="P73" i="4"/>
  <c r="W51" i="4"/>
  <c r="S51" i="4"/>
  <c r="R51" i="4"/>
  <c r="X51" i="4"/>
  <c r="V51" i="4"/>
  <c r="T51" i="4"/>
  <c r="Q67" i="4"/>
  <c r="P9" i="4"/>
  <c r="X9" i="4"/>
  <c r="Q33" i="4"/>
  <c r="O33" i="4"/>
  <c r="P51" i="4"/>
  <c r="R76" i="4"/>
  <c r="Y76" i="4" s="1"/>
  <c r="X76" i="4"/>
  <c r="W76" i="4"/>
  <c r="S76" i="4"/>
  <c r="V76" i="4"/>
  <c r="T76" i="4"/>
  <c r="O6" i="4"/>
  <c r="O13" i="4"/>
  <c r="Q16" i="4"/>
  <c r="O16" i="4"/>
  <c r="O26" i="4"/>
  <c r="V38" i="4"/>
  <c r="T38" i="4"/>
  <c r="S38" i="4"/>
  <c r="P38" i="4"/>
  <c r="U38" i="4" s="1"/>
  <c r="Q45" i="4"/>
  <c r="O45" i="4"/>
  <c r="P61" i="4"/>
  <c r="U66" i="4"/>
  <c r="V101" i="4"/>
  <c r="R9" i="4"/>
  <c r="O8" i="4"/>
  <c r="Q8" i="4"/>
  <c r="S9" i="4"/>
  <c r="U28" i="4"/>
  <c r="P36" i="4"/>
  <c r="U36" i="4" s="1"/>
  <c r="O80" i="4"/>
  <c r="P86" i="4"/>
  <c r="Y101" i="4"/>
  <c r="O21" i="4"/>
  <c r="Q21" i="4"/>
  <c r="V68" i="4"/>
  <c r="R68" i="4"/>
  <c r="T68" i="4"/>
  <c r="P68" i="4"/>
  <c r="S68" i="4"/>
  <c r="W68" i="4"/>
  <c r="B18" i="1"/>
  <c r="T9" i="4"/>
  <c r="Q20" i="4"/>
  <c r="O20" i="4"/>
  <c r="R38" i="4"/>
  <c r="Q43" i="4"/>
  <c r="O43" i="4"/>
  <c r="R46" i="4"/>
  <c r="U46" i="4" s="1"/>
  <c r="Y46" i="4" s="1"/>
  <c r="X46" i="4"/>
  <c r="W46" i="4"/>
  <c r="V46" i="4"/>
  <c r="T46" i="4"/>
  <c r="S46" i="4"/>
  <c r="P54" i="4"/>
  <c r="O69" i="4"/>
  <c r="Q69" i="4"/>
  <c r="X18" i="4"/>
  <c r="W18" i="4"/>
  <c r="Q40" i="4"/>
  <c r="O40" i="4"/>
  <c r="Q75" i="4"/>
  <c r="O75" i="4"/>
  <c r="Q30" i="4"/>
  <c r="O30" i="4"/>
  <c r="Q9" i="4"/>
  <c r="O11" i="4"/>
  <c r="S18" i="4"/>
  <c r="O27" i="4"/>
  <c r="V28" i="4"/>
  <c r="T28" i="4"/>
  <c r="S28" i="4"/>
  <c r="R28" i="4"/>
  <c r="Y28" i="4" s="1"/>
  <c r="V48" i="4"/>
  <c r="W48" i="4"/>
  <c r="X48" i="4"/>
  <c r="T48" i="4"/>
  <c r="Y48" i="4" s="1"/>
  <c r="R49" i="4"/>
  <c r="U49" i="4" s="1"/>
  <c r="Y49" i="4" s="1"/>
  <c r="V58" i="4"/>
  <c r="R58" i="4"/>
  <c r="P58" i="4"/>
  <c r="S58" i="4"/>
  <c r="X74" i="4"/>
  <c r="T74" i="4"/>
  <c r="S74" i="4"/>
  <c r="V74" i="4"/>
  <c r="R74" i="4"/>
  <c r="W74" i="4"/>
  <c r="U84" i="4"/>
  <c r="P90" i="4"/>
  <c r="V90" i="4"/>
  <c r="X90" i="4"/>
  <c r="W90" i="4"/>
  <c r="T90" i="4"/>
  <c r="Q115" i="4"/>
  <c r="T77" i="4"/>
  <c r="W77" i="4"/>
  <c r="S77" i="4"/>
  <c r="X77" i="4"/>
  <c r="O94" i="4"/>
  <c r="Q94" i="4"/>
  <c r="W10" i="4"/>
  <c r="X15" i="4"/>
  <c r="W15" i="4"/>
  <c r="V15" i="4"/>
  <c r="P18" i="4"/>
  <c r="W31" i="4"/>
  <c r="Y31" i="4"/>
  <c r="X31" i="4"/>
  <c r="V31" i="4"/>
  <c r="O42" i="4"/>
  <c r="W53" i="4"/>
  <c r="V53" i="4"/>
  <c r="S53" i="4"/>
  <c r="R53" i="4"/>
  <c r="P53" i="4"/>
  <c r="U53" i="4" s="1"/>
  <c r="O60" i="4"/>
  <c r="Q65" i="4"/>
  <c r="O65" i="4"/>
  <c r="P77" i="4"/>
  <c r="Q98" i="4"/>
  <c r="O98" i="4"/>
  <c r="W63" i="4"/>
  <c r="V63" i="4"/>
  <c r="S63" i="4"/>
  <c r="X63" i="4"/>
  <c r="W91" i="4"/>
  <c r="S91" i="4"/>
  <c r="R91" i="4"/>
  <c r="P91" i="4"/>
  <c r="X91" i="4"/>
  <c r="P85" i="4"/>
  <c r="X85" i="4"/>
  <c r="W85" i="4"/>
  <c r="V85" i="4"/>
  <c r="T85" i="4"/>
  <c r="X10" i="4"/>
  <c r="P15" i="4"/>
  <c r="P31" i="4"/>
  <c r="U31" i="4" s="1"/>
  <c r="O39" i="4"/>
  <c r="T53" i="4"/>
  <c r="T63" i="4"/>
  <c r="Q77" i="4"/>
  <c r="S85" i="4"/>
  <c r="U87" i="4"/>
  <c r="Q95" i="4"/>
  <c r="O95" i="4"/>
  <c r="O100" i="4"/>
  <c r="O107" i="4"/>
  <c r="Q107" i="4"/>
  <c r="O102" i="4"/>
  <c r="Q102" i="4"/>
  <c r="S49" i="4"/>
  <c r="X49" i="4"/>
  <c r="V49" i="4"/>
  <c r="W49" i="4"/>
  <c r="Q55" i="4"/>
  <c r="O55" i="4"/>
  <c r="P63" i="4"/>
  <c r="S79" i="4"/>
  <c r="X79" i="4"/>
  <c r="W79" i="4"/>
  <c r="V79" i="4"/>
  <c r="T79" i="4"/>
  <c r="Y79" i="4" s="1"/>
  <c r="R79" i="4"/>
  <c r="R124" i="4"/>
  <c r="X124" i="4"/>
  <c r="W124" i="4"/>
  <c r="V124" i="4"/>
  <c r="T124" i="4"/>
  <c r="S124" i="4"/>
  <c r="P124" i="4"/>
  <c r="U124" i="4" s="1"/>
  <c r="Y10" i="4"/>
  <c r="R18" i="4"/>
  <c r="O29" i="4"/>
  <c r="O37" i="4"/>
  <c r="Q49" i="4"/>
  <c r="T62" i="4"/>
  <c r="P62" i="4"/>
  <c r="S62" i="4"/>
  <c r="W62" i="4"/>
  <c r="V62" i="4"/>
  <c r="O72" i="4"/>
  <c r="Q72" i="4"/>
  <c r="R77" i="4"/>
  <c r="Q79" i="4"/>
  <c r="U79" i="4" s="1"/>
  <c r="W81" i="4"/>
  <c r="S81" i="4"/>
  <c r="R81" i="4"/>
  <c r="U81" i="4" s="1"/>
  <c r="Y81" i="4" s="1"/>
  <c r="V81" i="4"/>
  <c r="X84" i="4"/>
  <c r="T84" i="4"/>
  <c r="S84" i="4"/>
  <c r="W84" i="4"/>
  <c r="R84" i="4"/>
  <c r="V91" i="4"/>
  <c r="O105" i="4"/>
  <c r="P120" i="4"/>
  <c r="X120" i="4"/>
  <c r="V120" i="4"/>
  <c r="T120" i="4"/>
  <c r="S120" i="4"/>
  <c r="R120" i="4"/>
  <c r="W120" i="4"/>
  <c r="Q108" i="4"/>
  <c r="R116" i="4"/>
  <c r="U116" i="4" s="1"/>
  <c r="X116" i="4"/>
  <c r="W116" i="4"/>
  <c r="V116" i="4"/>
  <c r="O119" i="4"/>
  <c r="Q119" i="4"/>
  <c r="W121" i="4"/>
  <c r="V121" i="4"/>
  <c r="S121" i="4"/>
  <c r="R121" i="4"/>
  <c r="U121" i="4" s="1"/>
  <c r="Y121" i="4" s="1"/>
  <c r="X121" i="4"/>
  <c r="O123" i="4"/>
  <c r="T52" i="4"/>
  <c r="P52" i="4"/>
  <c r="X52" i="4"/>
  <c r="O97" i="4"/>
  <c r="Q97" i="4"/>
  <c r="U117" i="4"/>
  <c r="Q120" i="4"/>
  <c r="Y41" i="4"/>
  <c r="O57" i="4"/>
  <c r="O112" i="4"/>
  <c r="Q112" i="4"/>
  <c r="O47" i="4"/>
  <c r="Q52" i="4"/>
  <c r="Q64" i="4"/>
  <c r="O64" i="4"/>
  <c r="Q68" i="4"/>
  <c r="O99" i="4"/>
  <c r="Q99" i="4"/>
  <c r="O104" i="4"/>
  <c r="X114" i="4"/>
  <c r="W114" i="4"/>
  <c r="T114" i="4"/>
  <c r="S114" i="4"/>
  <c r="V114" i="4"/>
  <c r="R114" i="4"/>
  <c r="U114" i="4" s="1"/>
  <c r="Y114" i="4" s="1"/>
  <c r="R56" i="4"/>
  <c r="X56" i="4"/>
  <c r="W56" i="4"/>
  <c r="O82" i="4"/>
  <c r="O88" i="4"/>
  <c r="Q90" i="4"/>
  <c r="S109" i="4"/>
  <c r="R109" i="4"/>
  <c r="U109" i="4" s="1"/>
  <c r="Y109" i="4"/>
  <c r="X109" i="4"/>
  <c r="Q110" i="4"/>
  <c r="Y56" i="4"/>
  <c r="Q58" i="4"/>
  <c r="S59" i="4"/>
  <c r="U59" i="4" s="1"/>
  <c r="Y59" i="4"/>
  <c r="X59" i="4"/>
  <c r="R66" i="4"/>
  <c r="X66" i="4"/>
  <c r="W66" i="4"/>
  <c r="O92" i="4"/>
  <c r="W109" i="4"/>
  <c r="Q118" i="4"/>
  <c r="S89" i="4"/>
  <c r="X89" i="4"/>
  <c r="W93" i="4"/>
  <c r="V93" i="4"/>
  <c r="R96" i="4"/>
  <c r="X96" i="4"/>
  <c r="W96" i="4"/>
  <c r="P110" i="4"/>
  <c r="U110" i="4" s="1"/>
  <c r="Y110" i="4"/>
  <c r="V110" i="4"/>
  <c r="W111" i="4"/>
  <c r="V111" i="4"/>
  <c r="S111" i="4"/>
  <c r="R111" i="4"/>
  <c r="X125" i="4"/>
  <c r="W125" i="4"/>
  <c r="V125" i="4"/>
  <c r="T125" i="4"/>
  <c r="S125" i="4"/>
  <c r="R125" i="4"/>
  <c r="P125" i="4"/>
  <c r="T87" i="4"/>
  <c r="Y87" i="4" s="1"/>
  <c r="P93" i="4"/>
  <c r="P96" i="4"/>
  <c r="P111" i="4"/>
  <c r="Y117" i="4"/>
  <c r="X117" i="4"/>
  <c r="T117" i="4"/>
  <c r="X122" i="4"/>
  <c r="T122" i="4"/>
  <c r="S122" i="4"/>
  <c r="R122" i="4"/>
  <c r="P122" i="4"/>
  <c r="U122" i="4" s="1"/>
  <c r="Y122" i="4"/>
  <c r="Q125" i="4"/>
  <c r="Y54" i="4" l="1"/>
  <c r="Y52" i="4"/>
  <c r="Y62" i="4"/>
  <c r="Y125" i="4"/>
  <c r="Y91" i="4"/>
  <c r="Y83" i="4"/>
  <c r="U90" i="4"/>
  <c r="Y90" i="4"/>
  <c r="V27" i="4"/>
  <c r="T27" i="4"/>
  <c r="W27" i="4"/>
  <c r="S27" i="4"/>
  <c r="X27" i="4"/>
  <c r="R27" i="4"/>
  <c r="P27" i="4"/>
  <c r="U27" i="4" s="1"/>
  <c r="U111" i="4"/>
  <c r="Y111" i="4" s="1"/>
  <c r="U18" i="4"/>
  <c r="Y18" i="4" s="1"/>
  <c r="U68" i="4"/>
  <c r="S13" i="4"/>
  <c r="T13" i="4"/>
  <c r="R13" i="4"/>
  <c r="P13" i="4"/>
  <c r="U13" i="4" s="1"/>
  <c r="X13" i="4"/>
  <c r="W13" i="4"/>
  <c r="V13" i="4"/>
  <c r="U93" i="4"/>
  <c r="Y93" i="4" s="1"/>
  <c r="U62" i="4"/>
  <c r="V43" i="4"/>
  <c r="T43" i="4"/>
  <c r="S43" i="4"/>
  <c r="R43" i="4"/>
  <c r="P43" i="4"/>
  <c r="U43" i="4" s="1"/>
  <c r="W43" i="4"/>
  <c r="X43" i="4"/>
  <c r="X104" i="4"/>
  <c r="T104" i="4"/>
  <c r="S104" i="4"/>
  <c r="R104" i="4"/>
  <c r="V104" i="4"/>
  <c r="P104" i="4"/>
  <c r="U104" i="4" s="1"/>
  <c r="Y104" i="4" s="1"/>
  <c r="W104" i="4"/>
  <c r="T57" i="4"/>
  <c r="P57" i="4"/>
  <c r="S57" i="4"/>
  <c r="X57" i="4"/>
  <c r="W57" i="4"/>
  <c r="V57" i="4"/>
  <c r="R57" i="4"/>
  <c r="P123" i="4"/>
  <c r="U123" i="4" s="1"/>
  <c r="Y123" i="4"/>
  <c r="W123" i="4"/>
  <c r="V123" i="4"/>
  <c r="T123" i="4"/>
  <c r="S123" i="4"/>
  <c r="R123" i="4"/>
  <c r="X123" i="4"/>
  <c r="Y116" i="4"/>
  <c r="T72" i="4"/>
  <c r="P72" i="4"/>
  <c r="U72" i="4" s="1"/>
  <c r="Y72" i="4"/>
  <c r="V72" i="4"/>
  <c r="S72" i="4"/>
  <c r="W72" i="4"/>
  <c r="R72" i="4"/>
  <c r="X72" i="4"/>
  <c r="P95" i="4"/>
  <c r="R95" i="4"/>
  <c r="S95" i="4"/>
  <c r="T95" i="4"/>
  <c r="W95" i="4"/>
  <c r="X95" i="4"/>
  <c r="V95" i="4"/>
  <c r="P65" i="4"/>
  <c r="S65" i="4"/>
  <c r="T65" i="4"/>
  <c r="V65" i="4"/>
  <c r="R65" i="4"/>
  <c r="W65" i="4"/>
  <c r="X65" i="4"/>
  <c r="X94" i="4"/>
  <c r="T94" i="4"/>
  <c r="S94" i="4"/>
  <c r="P94" i="4"/>
  <c r="W94" i="4"/>
  <c r="V94" i="4"/>
  <c r="R94" i="4"/>
  <c r="Y58" i="4"/>
  <c r="U58" i="4"/>
  <c r="P40" i="4"/>
  <c r="R40" i="4"/>
  <c r="T40" i="4"/>
  <c r="S40" i="4"/>
  <c r="V40" i="4"/>
  <c r="X40" i="4"/>
  <c r="W40" i="4"/>
  <c r="P14" i="4"/>
  <c r="U14" i="4" s="1"/>
  <c r="S14" i="4"/>
  <c r="R14" i="4"/>
  <c r="T14" i="4"/>
  <c r="V14" i="4"/>
  <c r="W14" i="4"/>
  <c r="X14" i="4"/>
  <c r="U89" i="4"/>
  <c r="Y89" i="4" s="1"/>
  <c r="U50" i="4"/>
  <c r="Y50" i="4" s="1"/>
  <c r="Y68" i="4"/>
  <c r="T33" i="4"/>
  <c r="S33" i="4"/>
  <c r="W33" i="4"/>
  <c r="V33" i="4"/>
  <c r="P33" i="4"/>
  <c r="R33" i="4"/>
  <c r="X33" i="4"/>
  <c r="Y25" i="4"/>
  <c r="Y108" i="4"/>
  <c r="P30" i="4"/>
  <c r="S30" i="4"/>
  <c r="R30" i="4"/>
  <c r="T30" i="4"/>
  <c r="X30" i="4"/>
  <c r="W30" i="4"/>
  <c r="V30" i="4"/>
  <c r="X24" i="4"/>
  <c r="P24" i="4"/>
  <c r="U24" i="4" s="1"/>
  <c r="V24" i="4"/>
  <c r="T24" i="4"/>
  <c r="S24" i="4"/>
  <c r="R24" i="4"/>
  <c r="W24" i="4"/>
  <c r="T32" i="4"/>
  <c r="W32" i="4"/>
  <c r="V32" i="4"/>
  <c r="R32" i="4"/>
  <c r="P32" i="4"/>
  <c r="S32" i="4"/>
  <c r="X32" i="4"/>
  <c r="U34" i="4"/>
  <c r="Y34" i="4" s="1"/>
  <c r="R26" i="4"/>
  <c r="X26" i="4"/>
  <c r="W26" i="4"/>
  <c r="V26" i="4"/>
  <c r="T26" i="4"/>
  <c r="S26" i="4"/>
  <c r="P26" i="4"/>
  <c r="Y124" i="4"/>
  <c r="P80" i="4"/>
  <c r="V80" i="4"/>
  <c r="W80" i="4"/>
  <c r="X80" i="4"/>
  <c r="T80" i="4"/>
  <c r="S80" i="4"/>
  <c r="R80" i="4"/>
  <c r="R17" i="4"/>
  <c r="P17" i="4"/>
  <c r="T17" i="4"/>
  <c r="S17" i="4"/>
  <c r="X17" i="4"/>
  <c r="W17" i="4"/>
  <c r="V17" i="4"/>
  <c r="T97" i="4"/>
  <c r="P97" i="4"/>
  <c r="R97" i="4"/>
  <c r="S97" i="4"/>
  <c r="V97" i="4"/>
  <c r="X97" i="4"/>
  <c r="W97" i="4"/>
  <c r="Y53" i="4"/>
  <c r="T23" i="4"/>
  <c r="S23" i="4"/>
  <c r="R23" i="4"/>
  <c r="V23" i="4"/>
  <c r="P23" i="4"/>
  <c r="W23" i="4"/>
  <c r="X23" i="4"/>
  <c r="X47" i="4"/>
  <c r="W47" i="4"/>
  <c r="V47" i="4"/>
  <c r="T47" i="4"/>
  <c r="S47" i="4"/>
  <c r="P47" i="4"/>
  <c r="R47" i="4"/>
  <c r="Y84" i="4"/>
  <c r="U63" i="4"/>
  <c r="Y63" i="4" s="1"/>
  <c r="S39" i="4"/>
  <c r="T39" i="4"/>
  <c r="R39" i="4"/>
  <c r="P39" i="4"/>
  <c r="W39" i="4"/>
  <c r="V39" i="4"/>
  <c r="X39" i="4"/>
  <c r="V98" i="4"/>
  <c r="R98" i="4"/>
  <c r="S98" i="4"/>
  <c r="P98" i="4"/>
  <c r="T98" i="4"/>
  <c r="X98" i="4"/>
  <c r="W98" i="4"/>
  <c r="U54" i="4"/>
  <c r="Y38" i="4"/>
  <c r="P21" i="4"/>
  <c r="X21" i="4"/>
  <c r="T21" i="4"/>
  <c r="S21" i="4"/>
  <c r="R21" i="4"/>
  <c r="W21" i="4"/>
  <c r="V21" i="4"/>
  <c r="S99" i="4"/>
  <c r="X99" i="4"/>
  <c r="R99" i="4"/>
  <c r="P99" i="4"/>
  <c r="T99" i="4"/>
  <c r="W99" i="4"/>
  <c r="V99" i="4"/>
  <c r="P60" i="4"/>
  <c r="V60" i="4"/>
  <c r="R60" i="4"/>
  <c r="T60" i="4"/>
  <c r="S60" i="4"/>
  <c r="X60" i="4"/>
  <c r="W60" i="4"/>
  <c r="T16" i="4"/>
  <c r="S16" i="4"/>
  <c r="P16" i="4"/>
  <c r="R16" i="4"/>
  <c r="W16" i="4"/>
  <c r="V16" i="4"/>
  <c r="X16" i="4"/>
  <c r="P113" i="4"/>
  <c r="U113" i="4" s="1"/>
  <c r="W113" i="4"/>
  <c r="V113" i="4"/>
  <c r="T113" i="4"/>
  <c r="S113" i="4"/>
  <c r="X113" i="4"/>
  <c r="R113" i="4"/>
  <c r="T92" i="4"/>
  <c r="P92" i="4"/>
  <c r="R92" i="4"/>
  <c r="X92" i="4"/>
  <c r="W92" i="4"/>
  <c r="V92" i="4"/>
  <c r="S92" i="4"/>
  <c r="U120" i="4"/>
  <c r="Y120" i="4" s="1"/>
  <c r="U61" i="4"/>
  <c r="Y61" i="4" s="1"/>
  <c r="U118" i="4"/>
  <c r="Y118" i="4" s="1"/>
  <c r="X64" i="4"/>
  <c r="T64" i="4"/>
  <c r="S64" i="4"/>
  <c r="R64" i="4"/>
  <c r="W64" i="4"/>
  <c r="V64" i="4"/>
  <c r="P64" i="4"/>
  <c r="W11" i="4"/>
  <c r="V11" i="4"/>
  <c r="T11" i="4"/>
  <c r="X11" i="4"/>
  <c r="S11" i="4"/>
  <c r="R11" i="4"/>
  <c r="P11" i="4"/>
  <c r="P45" i="4"/>
  <c r="X45" i="4"/>
  <c r="W45" i="4"/>
  <c r="V45" i="4"/>
  <c r="T45" i="4"/>
  <c r="S45" i="4"/>
  <c r="R45" i="4"/>
  <c r="U85" i="4"/>
  <c r="Y66" i="4"/>
  <c r="Y85" i="4"/>
  <c r="T102" i="4"/>
  <c r="P102" i="4"/>
  <c r="S102" i="4"/>
  <c r="R102" i="4"/>
  <c r="V102" i="4"/>
  <c r="W102" i="4"/>
  <c r="X102" i="4"/>
  <c r="U125" i="4"/>
  <c r="V88" i="4"/>
  <c r="R88" i="4"/>
  <c r="P88" i="4"/>
  <c r="W88" i="4"/>
  <c r="S88" i="4"/>
  <c r="T88" i="4"/>
  <c r="X88" i="4"/>
  <c r="U52" i="4"/>
  <c r="S119" i="4"/>
  <c r="R119" i="4"/>
  <c r="X119" i="4"/>
  <c r="P119" i="4"/>
  <c r="T119" i="4"/>
  <c r="W119" i="4"/>
  <c r="V119" i="4"/>
  <c r="W37" i="4"/>
  <c r="V37" i="4"/>
  <c r="T37" i="4"/>
  <c r="X37" i="4"/>
  <c r="S37" i="4"/>
  <c r="R37" i="4"/>
  <c r="P37" i="4"/>
  <c r="U37" i="4" s="1"/>
  <c r="P55" i="4"/>
  <c r="U55" i="4" s="1"/>
  <c r="Y55" i="4"/>
  <c r="X55" i="4"/>
  <c r="W55" i="4"/>
  <c r="S55" i="4"/>
  <c r="R55" i="4"/>
  <c r="T55" i="4"/>
  <c r="V55" i="4"/>
  <c r="X107" i="4"/>
  <c r="T107" i="4"/>
  <c r="V107" i="4"/>
  <c r="S107" i="4"/>
  <c r="R107" i="4"/>
  <c r="W107" i="4"/>
  <c r="P107" i="4"/>
  <c r="U91" i="4"/>
  <c r="P75" i="4"/>
  <c r="W75" i="4"/>
  <c r="T75" i="4"/>
  <c r="X75" i="4"/>
  <c r="R75" i="4"/>
  <c r="V75" i="4"/>
  <c r="S75" i="4"/>
  <c r="S20" i="4"/>
  <c r="R20" i="4"/>
  <c r="T20" i="4"/>
  <c r="P20" i="4"/>
  <c r="U20" i="4" s="1"/>
  <c r="V20" i="4"/>
  <c r="Y20" i="4"/>
  <c r="W20" i="4"/>
  <c r="X20" i="4"/>
  <c r="U73" i="4"/>
  <c r="Y73" i="4" s="1"/>
  <c r="T7" i="4"/>
  <c r="S7" i="4"/>
  <c r="R7" i="4"/>
  <c r="V7" i="4"/>
  <c r="X7" i="4"/>
  <c r="P7" i="4"/>
  <c r="U7" i="4" s="1"/>
  <c r="Y7" i="4"/>
  <c r="W7" i="4"/>
  <c r="U35" i="4"/>
  <c r="Y35" i="4" s="1"/>
  <c r="U83" i="4"/>
  <c r="U106" i="4"/>
  <c r="Y106" i="4" s="1"/>
  <c r="U70" i="4"/>
  <c r="Y70" i="4" s="1"/>
  <c r="U22" i="4"/>
  <c r="Y22" i="4"/>
  <c r="U115" i="4"/>
  <c r="Y115" i="4" s="1"/>
  <c r="V78" i="4"/>
  <c r="R78" i="4"/>
  <c r="X78" i="4"/>
  <c r="P78" i="4"/>
  <c r="W78" i="4"/>
  <c r="T78" i="4"/>
  <c r="S78" i="4"/>
  <c r="U86" i="4"/>
  <c r="Y86" i="4" s="1"/>
  <c r="U51" i="4"/>
  <c r="Y51" i="4" s="1"/>
  <c r="Y12" i="4"/>
  <c r="U96" i="4"/>
  <c r="Y96" i="4"/>
  <c r="P105" i="4"/>
  <c r="V105" i="4"/>
  <c r="T105" i="4"/>
  <c r="S105" i="4"/>
  <c r="W105" i="4"/>
  <c r="X105" i="4"/>
  <c r="R105" i="4"/>
  <c r="Y74" i="4"/>
  <c r="T6" i="4"/>
  <c r="W6" i="4"/>
  <c r="S6" i="4"/>
  <c r="V6" i="4"/>
  <c r="X6" i="4"/>
  <c r="R6" i="4"/>
  <c r="P6" i="4"/>
  <c r="S69" i="4"/>
  <c r="X69" i="4"/>
  <c r="T69" i="4"/>
  <c r="R69" i="4"/>
  <c r="P69" i="4"/>
  <c r="W69" i="4"/>
  <c r="V69" i="4"/>
  <c r="U67" i="4"/>
  <c r="Y67" i="4" s="1"/>
  <c r="T82" i="4"/>
  <c r="P82" i="4"/>
  <c r="U82" i="4" s="1"/>
  <c r="Y82" i="4"/>
  <c r="W82" i="4"/>
  <c r="R82" i="4"/>
  <c r="V82" i="4"/>
  <c r="S82" i="4"/>
  <c r="X82" i="4"/>
  <c r="T112" i="4"/>
  <c r="S112" i="4"/>
  <c r="P112" i="4"/>
  <c r="R112" i="4"/>
  <c r="V112" i="4"/>
  <c r="W112" i="4"/>
  <c r="X112" i="4"/>
  <c r="S29" i="4"/>
  <c r="R29" i="4"/>
  <c r="P29" i="4"/>
  <c r="T29" i="4"/>
  <c r="W29" i="4"/>
  <c r="X29" i="4"/>
  <c r="V29" i="4"/>
  <c r="P100" i="4"/>
  <c r="V100" i="4"/>
  <c r="S100" i="4"/>
  <c r="R100" i="4"/>
  <c r="T100" i="4"/>
  <c r="X100" i="4"/>
  <c r="W100" i="4"/>
  <c r="U15" i="4"/>
  <c r="Y15" i="4"/>
  <c r="U77" i="4"/>
  <c r="Y77" i="4" s="1"/>
  <c r="T42" i="4"/>
  <c r="X42" i="4"/>
  <c r="W42" i="4"/>
  <c r="V42" i="4"/>
  <c r="P42" i="4"/>
  <c r="R42" i="4"/>
  <c r="S42" i="4"/>
  <c r="X8" i="4"/>
  <c r="R8" i="4"/>
  <c r="P8" i="4"/>
  <c r="S8" i="4"/>
  <c r="W8" i="4"/>
  <c r="V8" i="4"/>
  <c r="T8" i="4"/>
  <c r="U9" i="4"/>
  <c r="Y9" i="4" s="1"/>
  <c r="W71" i="4"/>
  <c r="S71" i="4"/>
  <c r="R71" i="4"/>
  <c r="V71" i="4"/>
  <c r="T71" i="4"/>
  <c r="P71" i="4"/>
  <c r="X71" i="4"/>
  <c r="X44" i="4"/>
  <c r="S44" i="4"/>
  <c r="R44" i="4"/>
  <c r="V44" i="4"/>
  <c r="T44" i="4"/>
  <c r="W44" i="4"/>
  <c r="P44" i="4"/>
  <c r="V19" i="4"/>
  <c r="T19" i="4"/>
  <c r="R19" i="4"/>
  <c r="P19" i="4"/>
  <c r="S19" i="4"/>
  <c r="W19" i="4"/>
  <c r="X19" i="4"/>
  <c r="U103" i="4"/>
  <c r="Y103" i="4" s="1"/>
  <c r="U74" i="4"/>
  <c r="Y95" i="4" l="1"/>
  <c r="Y23" i="4"/>
  <c r="Y78" i="4"/>
  <c r="Y92" i="4"/>
  <c r="Y94" i="4"/>
  <c r="Y97" i="4"/>
  <c r="Y65" i="4"/>
  <c r="Y112" i="4"/>
  <c r="Y102" i="4"/>
  <c r="U98" i="4"/>
  <c r="U112" i="4"/>
  <c r="U119" i="4"/>
  <c r="U6" i="4"/>
  <c r="Y6" i="4" s="1"/>
  <c r="U75" i="4"/>
  <c r="Y113" i="4"/>
  <c r="U100" i="4"/>
  <c r="Y100" i="4" s="1"/>
  <c r="U105" i="4"/>
  <c r="Y105" i="4" s="1"/>
  <c r="Y75" i="4"/>
  <c r="Y37" i="4"/>
  <c r="Y98" i="4"/>
  <c r="U39" i="4"/>
  <c r="U32" i="4"/>
  <c r="Y32" i="4" s="1"/>
  <c r="U30" i="4"/>
  <c r="Y14" i="4"/>
  <c r="Y43" i="4"/>
  <c r="Y13" i="4"/>
  <c r="Y27" i="4"/>
  <c r="Y24" i="4"/>
  <c r="U95" i="4"/>
  <c r="U88" i="4"/>
  <c r="U21" i="4"/>
  <c r="Y21" i="4" s="1"/>
  <c r="U42" i="4"/>
  <c r="Y42" i="4" s="1"/>
  <c r="U64" i="4"/>
  <c r="U33" i="4"/>
  <c r="Y33" i="4" s="1"/>
  <c r="U107" i="4"/>
  <c r="Y107" i="4" s="1"/>
  <c r="U45" i="4"/>
  <c r="Y45" i="4" s="1"/>
  <c r="Y39" i="4"/>
  <c r="U47" i="4"/>
  <c r="Y47" i="4" s="1"/>
  <c r="U23" i="4"/>
  <c r="U17" i="4"/>
  <c r="Y17" i="4" s="1"/>
  <c r="U65" i="4"/>
  <c r="Y88" i="4"/>
  <c r="U102" i="4"/>
  <c r="U71" i="4"/>
  <c r="Y71" i="4" s="1"/>
  <c r="U29" i="4"/>
  <c r="Y29" i="4" s="1"/>
  <c r="Y119" i="4"/>
  <c r="U11" i="4"/>
  <c r="Y11" i="4" s="1"/>
  <c r="U16" i="4"/>
  <c r="Y16" i="4" s="1"/>
  <c r="U60" i="4"/>
  <c r="Y60" i="4" s="1"/>
  <c r="U97" i="4"/>
  <c r="U26" i="4"/>
  <c r="Y26" i="4" s="1"/>
  <c r="U57" i="4"/>
  <c r="Y57" i="4" s="1"/>
  <c r="U19" i="4"/>
  <c r="Y19" i="4" s="1"/>
  <c r="U99" i="4"/>
  <c r="U92" i="4"/>
  <c r="Y99" i="4"/>
  <c r="U80" i="4"/>
  <c r="Y80" i="4" s="1"/>
  <c r="U94" i="4"/>
  <c r="U44" i="4"/>
  <c r="Y44" i="4" s="1"/>
  <c r="U69" i="4"/>
  <c r="Y69" i="4" s="1"/>
  <c r="U8" i="4"/>
  <c r="Y8" i="4" s="1"/>
  <c r="U78" i="4"/>
  <c r="Y64" i="4"/>
  <c r="Y30" i="4"/>
  <c r="U40" i="4"/>
  <c r="Y40" i="4" s="1"/>
</calcChain>
</file>

<file path=xl/sharedStrings.xml><?xml version="1.0" encoding="utf-8"?>
<sst xmlns="http://schemas.openxmlformats.org/spreadsheetml/2006/main" count="3167" uniqueCount="622">
  <si>
    <t>Stress Test Dashboard</t>
  </si>
  <si>
    <t>Use the test sheets to record actual behavior. This dashboard updates from Comparison Status entries.</t>
  </si>
  <si>
    <t>Metric</t>
  </si>
  <si>
    <t>Value</t>
  </si>
  <si>
    <t>TEST INVENTORY</t>
  </si>
  <si>
    <t>Total planned tests</t>
  </si>
  <si>
    <t>Sheet</t>
  </si>
  <si>
    <t>Purpose</t>
  </si>
  <si>
    <t>Tests</t>
  </si>
  <si>
    <t>Expected field</t>
  </si>
  <si>
    <t>Editable fields</t>
  </si>
  <si>
    <t>Passed</t>
  </si>
  <si>
    <t>Ranking Stress Tests</t>
  </si>
  <si>
    <t>All rank permutations</t>
  </si>
  <si>
    <t>Expected Result</t>
  </si>
  <si>
    <t>Real Result, Status, Notes</t>
  </si>
  <si>
    <t>Failed</t>
  </si>
  <si>
    <t>Validation Branch Tests</t>
  </si>
  <si>
    <t>Validate/skip branches</t>
  </si>
  <si>
    <t>Real Result, Status</t>
  </si>
  <si>
    <t>Blocked</t>
  </si>
  <si>
    <t>Evidence Mutation Tests</t>
  </si>
  <si>
    <t>Metadata and text edits</t>
  </si>
  <si>
    <t>Not Run</t>
  </si>
  <si>
    <t>Session Flow Tests</t>
  </si>
  <si>
    <t>Randomness, UI, progress</t>
  </si>
  <si>
    <t>Status</t>
  </si>
  <si>
    <t>Count</t>
  </si>
  <si>
    <t>Pass</t>
  </si>
  <si>
    <t>Fail</t>
  </si>
  <si>
    <t>Completion %</t>
  </si>
  <si>
    <t>PASS CRITERION</t>
  </si>
  <si>
    <t>A row passes when the observed Unity behavior matches Expected Result, including answer type, scores, consequence, panel/button state, and session progress where applicable. Record defects with exact mission ID, rank order, path, and reproduction steps.</t>
  </si>
  <si>
    <t>CiteGuard VR Stress Test Evaluation</t>
  </si>
  <si>
    <t>Unity 6 (6000.3.21f1 LTS) | Meta Quest 3S target | Version 1 scripted RAG workflow</t>
  </si>
  <si>
    <t>HOW TO USE THIS WORKBOOK</t>
  </si>
  <si>
    <t>Step</t>
  </si>
  <si>
    <t>Action</t>
  </si>
  <si>
    <t>Instruction</t>
  </si>
  <si>
    <t>1</t>
  </si>
  <si>
    <t>Choose a test</t>
  </si>
  <si>
    <t>Start with Ranking Stress Tests for normal gameplay, then use the branch, mutation, and session sheets.</t>
  </si>
  <si>
    <t>2</t>
  </si>
  <si>
    <t>Identify evidence by role</t>
  </si>
  <si>
    <t>K1 is idealRank 1, K2 is idealRank 2, and D1/D2 are idealRank 0 distractors. Displayed Evidence A-D letters shuffle, so use the evidence ID/text.</t>
  </si>
  <si>
    <t>3</t>
  </si>
  <si>
    <t>Arrange the ranks</t>
  </si>
  <si>
    <t>Drag the four cards into Rank 1 through Rank 4 exactly as shown in the selected row.</t>
  </si>
  <si>
    <t>4</t>
  </si>
  <si>
    <t>Run the path</t>
  </si>
  <si>
    <t>Use Validate or Provide Answer/skip validation according to the test row.</t>
  </si>
  <si>
    <t>5</t>
  </si>
  <si>
    <t>Record behavior</t>
  </si>
  <si>
    <t>Enter what Unity actually showed in the yellow Real Result cell.</t>
  </si>
  <si>
    <t>6</t>
  </si>
  <si>
    <t>Compare</t>
  </si>
  <si>
    <t>Set Comparison Status to Pass, Fail, Blocked, or Not Run. Add reproducible details in Notes.</t>
  </si>
  <si>
    <t>EXPECTED SCORING RULES</t>
  </si>
  <si>
    <t>Rule</t>
  </si>
  <si>
    <t>Expected behavior</t>
  </si>
  <si>
    <t>Important limitation under test:
Version 1 evaluates evidence metadata (idealRank), not the semantic meaning of the text. Changing evidence wording alone should not change the computed answer quality. The mutation sheet intentionally tests this behavior.
Expected Result contains the specification. Real Result is intentionally blank for your Unity observation.</t>
  </si>
  <si>
    <t>Grounded</t>
  </si>
  <si>
    <t>K1 and K2 are both in Rank 1 or Rank 2.</t>
  </si>
  <si>
    <t>Partial</t>
  </si>
  <si>
    <t>Exactly one of K1 or K2 is in Rank 1 or Rank 2.</t>
  </si>
  <si>
    <t>Risky</t>
  </si>
  <si>
    <t>Neither K1 nor K2 is in Rank 1 or Rank 2.</t>
  </si>
  <si>
    <t>Retrieval Quality</t>
  </si>
  <si>
    <t>100 / 50 / 0 for Grounded / Partial / Risky.</t>
  </si>
  <si>
    <t>Ranking Quality</t>
  </si>
  <si>
    <t>K1: max(0, 50 - |rank-1| x 15) plus K2: max(0, 50 - |rank-2| x 15).</t>
  </si>
  <si>
    <t>Final Trust</t>
  </si>
  <si>
    <t>Round((Retrieval + Ranking + Grounding + Citation + (100 - Hallucination Risk)) / 5).</t>
  </si>
  <si>
    <t>Send to LLM</t>
  </si>
  <si>
    <t>Disabled until all four ranking slots are filled.</t>
  </si>
  <si>
    <t>Mission &amp; Evidence Map</t>
  </si>
  <si>
    <t>Stable evidence IDs are the source of truth; displayed A-D labels can change after shuffling.</t>
  </si>
  <si>
    <t>Mission ID</t>
  </si>
  <si>
    <t>Mission Title</t>
  </si>
  <si>
    <t>Crew Query</t>
  </si>
  <si>
    <t>K1 ID (idealRank 1)</t>
  </si>
  <si>
    <t>K1 Text</t>
  </si>
  <si>
    <t>K2 ID (idealRank 2)</t>
  </si>
  <si>
    <t>K2 Text</t>
  </si>
  <si>
    <t>D1 ID (idealRank 0)</t>
  </si>
  <si>
    <t>D1 Text</t>
  </si>
  <si>
    <t>D2 ID (idealRank 0)</t>
  </si>
  <si>
    <t>D2 Text</t>
  </si>
  <si>
    <t>Grounded Variants</t>
  </si>
  <si>
    <t>Partial Variants</t>
  </si>
  <si>
    <t>Risky Variants</t>
  </si>
  <si>
    <t>Success / Delayed / Failure</t>
  </si>
  <si>
    <t>Notes</t>
  </si>
  <si>
    <t>solar_shield</t>
  </si>
  <si>
    <t>Solar Shield Battery Check</t>
  </si>
  <si>
    <t>Can we activate the solar shield during low battery mode?</t>
  </si>
  <si>
    <t>shield_power_requirement</t>
  </si>
  <si>
    <t>The solar shield requires the battery level to be above 40%.</t>
  </si>
  <si>
    <t>low_battery_threshold</t>
  </si>
  <si>
    <t>Low battery mode begins when the battery level falls below 25%.</t>
  </si>
  <si>
    <t>oxygen_backup_power</t>
  </si>
  <si>
    <t>The oxygen system uses backup power during low battery mode.</t>
  </si>
  <si>
    <t>radiation_protection</t>
  </si>
  <si>
    <t>The solar shield protects the ship during radiation storms.</t>
  </si>
  <si>
    <t>1) No. Low battery mode means the battery is below 25%, while the solar shield requires above 40%. The shield should remain offline. Supported by {KEY1} and {KEY2}.
2) The solar shield should not be activated. It requires more than 40% battery, but low battery mode begins below 25%. Supported by {KEY1} and {KEY2}.</t>
  </si>
  <si>
    <t>1) Activation may be unsafe because the available evidence indicates a battery restriction, but the full threshold comparison is missing.
2) The ranked evidence provides only partial support, so the crew should not make the shield decision yet.</t>
  </si>
  <si>
    <t>1) Yes. The solar shield can be activated because low battery mode uses backup power.
2) The shield should work during low battery mode because radiation protection is always required.</t>
  </si>
  <si>
    <t>SUCCESS: The shield remains offline. Battery power is preserved for essential systems.
DELAYED: The crew pauses the decision while battery reserves continue to fall.
FAILURE: The shield overloads the low-battery system and causes a shipwide power emergency.</t>
  </si>
  <si>
    <t>cargo_bay</t>
  </si>
  <si>
    <t>Cargo Bay Safety Check</t>
  </si>
  <si>
    <t>Can we open the exterior cargo bay while the ship is moving at cruise speed?</t>
  </si>
  <si>
    <t>cargo_speed_requirement</t>
  </si>
  <si>
    <t>Exterior cargo bay doors may open only when the ship speed is zero.</t>
  </si>
  <si>
    <t>cruise_speed_status</t>
  </si>
  <si>
    <t>Cruise mode keeps the ship moving above 5,000 kilometers per hour.</t>
  </si>
  <si>
    <t>cargo_contents</t>
  </si>
  <si>
    <t>The cargo bay stores repair drones and spare equipment.</t>
  </si>
  <si>
    <t>docking_clamps</t>
  </si>
  <si>
    <t>Docking clamps engage automatically near a space station.</t>
  </si>
  <si>
    <t>1) No. The cargo bay doors may open only when ship speed is zero, while cruise mode keeps the ship moving above 5,000 kilometers per hour. Supported by {KEY1} and {KEY2}.
2) The exterior cargo bay must remain closed. Its doors require zero ship speed, which conflicts with the current cruise-speed condition. Supported by {KEY1} and {KEY2}.</t>
  </si>
  <si>
    <t>1) Opening the cargo bay may be unsafe because the available evidence indicates a movement restriction, but the complete speed comparison is missing.
2) The ranked evidence is incomplete, so the crew should keep the cargo bay closed until the ship-speed requirement is confirmed.</t>
  </si>
  <si>
    <t>1) Yes. The cargo bay can be opened because docking clamps will keep the ship stable.
2) The cargo bay may be opened during cruise because the repair drones can secure loose equipment.</t>
  </si>
  <si>
    <t>SUCCESS: The cargo bay remains sealed until the ship stops, preventing decompression and equipment loss.
DELAYED: The crew pauses the cargo operation while confirming the ship-speed requirement.
FAILURE: The cargo bay opens at cruise speed, causing rapid decompression and the loss of critical equipment.</t>
  </si>
  <si>
    <t>reactor_restart</t>
  </si>
  <si>
    <t>Reactor Coolant Check</t>
  </si>
  <si>
    <t>Should we restart the main reactor while the coolant temperature warning is active?</t>
  </si>
  <si>
    <t>reactor_restart_limit</t>
  </si>
  <si>
    <t>The reactor may restart only when coolant temperature is below 70 degrees Celsius.</t>
  </si>
  <si>
    <t>coolant_warning_threshold</t>
  </si>
  <si>
    <t>The coolant warning activates when temperature rises above 90 degrees Celsius.</t>
  </si>
  <si>
    <t>reactor_navigation_power</t>
  </si>
  <si>
    <t>The main reactor supplies power to navigation and propulsion.</t>
  </si>
  <si>
    <t>coolant_maintenance</t>
  </si>
  <si>
    <t>The coolant pumps passed inspection during the previous maintenance cycle.</t>
  </si>
  <si>
    <t>1) No. The reactor may restart only below 70 degrees Celsius, while the warning means coolant temperature is above 90 degrees. Supported by {KEY1} and {KEY2}.
2) The reactor must remain offline. Its restart limit is below 70 degrees Celsius, but the active warning indicates a temperature above 90 degrees. Supported by {KEY1} and {KEY2}.</t>
  </si>
  <si>
    <t>1) Restarting may be unsafe because the available evidence indicates a coolant restriction, but the complete temperature comparison is missing.
2) The selected evidence suggests delaying the restart, but it does not establish both the required and current temperature thresholds.</t>
  </si>
  <si>
    <t>1) Yes. The reactor can be restarted because the coolant pumps passed their previous inspection.
2) The reactor should restart because navigation needs power, and the temperature warning can be monitored afterward.</t>
  </si>
  <si>
    <t>SUCCESS: The reactor remains offline while the coolant system lowers the temperature, preventing an overheat emergency.
DELAYED: The crew postpones the restart while engineers verify the coolant temperature.
FAILURE: The reactor restarts while overheated, triggering a reactor fire and an emergency power shutdown.</t>
  </si>
  <si>
    <t>eva_thrusters</t>
  </si>
  <si>
    <t>EVA Thruster Safety</t>
  </si>
  <si>
    <t>Can we fire the maneuvering thrusters while a technician is working outside the ship?</t>
  </si>
  <si>
    <t>thruster_eva_lockout</t>
  </si>
  <si>
    <t>Maneuvering thrusters must remain locked when EVA personnel are inside the thruster safety zone.</t>
  </si>
  <si>
    <t>technician_beacon</t>
  </si>
  <si>
    <t>The technician's suit beacon currently reports a position inside the thruster safety zone.</t>
  </si>
  <si>
    <t>spacesuit_oxygen</t>
  </si>
  <si>
    <t>The technician's spacesuit has 90 minutes of oxygen remaining.</t>
  </si>
  <si>
    <t>thruster_docking_use</t>
  </si>
  <si>
    <t>Maneuvering thrusters are normally used during docking operations.</t>
  </si>
  <si>
    <t>1) No. Thrusters must remain locked when EVA personnel are inside the safety zone, and the technician's beacon confirms that condition. Supported by {KEY1} and {KEY2}.
2) The maneuvering thrusters should not be fired. The technician is currently inside the zone where EVA safety rules require a thruster lockout. Supported by {KEY1} and {KEY2}.</t>
  </si>
  <si>
    <t>1) Firing the thrusters may be unsafe because the evidence indicates an EVA restriction, but the technician's current position is not fully confirmed.
2) The ranked evidence suggests keeping the thrusters locked, but additional location evidence is needed.</t>
  </si>
  <si>
    <t>1) Yes. The technician has enough oxygen and can move away before the thrusters fire.
2) The thrusters can be fired because they are routinely used during docking and the suit beacon can track the technician.</t>
  </si>
  <si>
    <t>SUCCESS: The thrusters remain locked until the technician leaves the safety zone, preventing an EVA accident.
DELAYED: The maneuver is postponed while the crew confirms the technician's location.
FAILURE: The thruster blast pushes the technician away from the ship and damages critical spacesuit equipment.</t>
  </si>
  <si>
    <t>antenna_storm</t>
  </si>
  <si>
    <t>Antenna Debris Safety</t>
  </si>
  <si>
    <t>Can we extend the long-range antenna during the current micrometeor storm?</t>
  </si>
  <si>
    <t>antenna_debris_rule</t>
  </si>
  <si>
    <t>The long-range antenna must remain retracted whenever a debris alert is active.</t>
  </si>
  <si>
    <t>storm_debris_status</t>
  </si>
  <si>
    <t>The current micrometeor storm has triggered an active high-velocity debris alert.</t>
  </si>
  <si>
    <t>internal_communications</t>
  </si>
  <si>
    <t>Internal crew communication uses a separate short-range network.</t>
  </si>
  <si>
    <t>antenna_signal_strength</t>
  </si>
  <si>
    <t>The long-range antenna improves communication with distant stations.</t>
  </si>
  <si>
    <t>1) No. The antenna must remain retracted during an active debris alert, and the current storm has triggered that alert. Supported by {KEY1} and {KEY2}.
2) The long-range antenna should not be extended. The micrometeor storm creates the exact debris condition that requires it to remain retracted. Supported by {KEY1} and {KEY2}.</t>
  </si>
  <si>
    <t>1) Extending the antenna may be unsafe because the available evidence indicates a debris restriction, but the current alert status is not fully confirmed.
2) The ranked evidence suggests keeping the antenna retracted, but the storm condition requires additional confirmation.</t>
  </si>
  <si>
    <t>1) Yes. The antenna should be extended because communication with distant stations is especially important during a storm.
2) The antenna can be extended because internal communications use a separate network if the long-range system is damaged.</t>
  </si>
  <si>
    <t>SUCCESS: The antenna remains protected until the storm passes, preserving long-range communications.
DELAYED: The crew postpones external communication while checking the debris alert.
FAILURE: High-velocity debris strikes the extended antenna, destroying the ship's long-range communication system.</t>
  </si>
  <si>
    <t>All 120 possible rank orders. Follow the stable K1/K2/D1/D2 roles, then compare Unity with Expected Result.</t>
  </si>
  <si>
    <t>Test ID</t>
  </si>
  <si>
    <t>Rank 1 Role</t>
  </si>
  <si>
    <t>Rank 1 Evidence</t>
  </si>
  <si>
    <t>Rank 2 Role</t>
  </si>
  <si>
    <t>Rank 2 Evidence</t>
  </si>
  <si>
    <t>Rank 3 Role</t>
  </si>
  <si>
    <t>Rank 3 Evidence</t>
  </si>
  <si>
    <t>Rank 4 Role</t>
  </si>
  <si>
    <t>Rank 4 Evidence</t>
  </si>
  <si>
    <t>K1 Rank</t>
  </si>
  <si>
    <t>K2 Rank</t>
  </si>
  <si>
    <t>Expected Answer Type</t>
  </si>
  <si>
    <t>Expected Retrieval %</t>
  </si>
  <si>
    <t>Expected Ranking %</t>
  </si>
  <si>
    <t>Expected Grounding %</t>
  </si>
  <si>
    <t>Expected Citation %</t>
  </si>
  <si>
    <t>Expected Hallucination Risk %</t>
  </si>
  <si>
    <t>Expected Trust %</t>
  </si>
  <si>
    <t>Correct Validation Choice</t>
  </si>
  <si>
    <t>Expected Validated Outcome</t>
  </si>
  <si>
    <t>Expected Skipped Outcome</t>
  </si>
  <si>
    <t>Real Result</t>
  </si>
  <si>
    <t>Comparison Status</t>
  </si>
  <si>
    <t>R-solar_shield-01</t>
  </si>
  <si>
    <t>K1</t>
  </si>
  <si>
    <t>shield_power_requirement: The solar shield requires the battery level to be above 40%.</t>
  </si>
  <si>
    <t>K2</t>
  </si>
  <si>
    <t>low_battery_threshold: Low battery mode begins when the battery level falls below 25%.</t>
  </si>
  <si>
    <t>D1</t>
  </si>
  <si>
    <t>oxygen_backup_power: The oxygen system uses backup power during low battery mode.</t>
  </si>
  <si>
    <t>D2</t>
  </si>
  <si>
    <t>radiation_protection: The solar shield protects the ship during radiation storms.</t>
  </si>
  <si>
    <t>R-solar_shield-02</t>
  </si>
  <si>
    <t>R-solar_shield-03</t>
  </si>
  <si>
    <t>R-solar_shield-04</t>
  </si>
  <si>
    <t>R-solar_shield-05</t>
  </si>
  <si>
    <t>R-solar_shield-06</t>
  </si>
  <si>
    <t>R-solar_shield-07</t>
  </si>
  <si>
    <t>R-solar_shield-08</t>
  </si>
  <si>
    <t>R-solar_shield-09</t>
  </si>
  <si>
    <t>R-solar_shield-10</t>
  </si>
  <si>
    <t>R-solar_shield-11</t>
  </si>
  <si>
    <t>R-solar_shield-12</t>
  </si>
  <si>
    <t>R-solar_shield-13</t>
  </si>
  <si>
    <t>R-solar_shield-14</t>
  </si>
  <si>
    <t>R-solar_shield-15</t>
  </si>
  <si>
    <t>R-solar_shield-16</t>
  </si>
  <si>
    <t>R-solar_shield-17</t>
  </si>
  <si>
    <t>R-solar_shield-18</t>
  </si>
  <si>
    <t>R-solar_shield-19</t>
  </si>
  <si>
    <t>R-solar_shield-20</t>
  </si>
  <si>
    <t>R-solar_shield-21</t>
  </si>
  <si>
    <t>R-solar_shield-22</t>
  </si>
  <si>
    <t>R-solar_shield-23</t>
  </si>
  <si>
    <t>R-solar_shield-24</t>
  </si>
  <si>
    <t>R-cargo_bay-01</t>
  </si>
  <si>
    <t>cargo_speed_requirement: Exterior cargo bay doors may open only when the ship speed is zero.</t>
  </si>
  <si>
    <t>cruise_speed_status: Cruise mode keeps the ship moving above 5,000 kilometers per hour.</t>
  </si>
  <si>
    <t>cargo_contents: The cargo bay stores repair drones and spare equipment.</t>
  </si>
  <si>
    <t>docking_clamps: Docking clamps engage automatically near a space station.</t>
  </si>
  <si>
    <t>R-cargo_bay-02</t>
  </si>
  <si>
    <t>R-cargo_bay-03</t>
  </si>
  <si>
    <t>R-cargo_bay-04</t>
  </si>
  <si>
    <t>R-cargo_bay-05</t>
  </si>
  <si>
    <t>R-cargo_bay-06</t>
  </si>
  <si>
    <t>R-cargo_bay-07</t>
  </si>
  <si>
    <t>R-cargo_bay-08</t>
  </si>
  <si>
    <t>R-cargo_bay-09</t>
  </si>
  <si>
    <t>R-cargo_bay-10</t>
  </si>
  <si>
    <t>R-cargo_bay-11</t>
  </si>
  <si>
    <t>R-cargo_bay-12</t>
  </si>
  <si>
    <t>R-cargo_bay-13</t>
  </si>
  <si>
    <t>R-cargo_bay-14</t>
  </si>
  <si>
    <t>R-cargo_bay-15</t>
  </si>
  <si>
    <t>R-cargo_bay-16</t>
  </si>
  <si>
    <t>R-cargo_bay-17</t>
  </si>
  <si>
    <t>R-cargo_bay-18</t>
  </si>
  <si>
    <t>R-cargo_bay-19</t>
  </si>
  <si>
    <t>R-cargo_bay-20</t>
  </si>
  <si>
    <t>R-cargo_bay-21</t>
  </si>
  <si>
    <t>R-cargo_bay-22</t>
  </si>
  <si>
    <t>R-cargo_bay-23</t>
  </si>
  <si>
    <t>R-cargo_bay-24</t>
  </si>
  <si>
    <t>R-reactor_restart-01</t>
  </si>
  <si>
    <t>reactor_restart_limit: The reactor may restart only when coolant temperature is below 70 degrees Celsius.</t>
  </si>
  <si>
    <t>coolant_warning_threshold: The coolant warning activates when temperature rises above 90 degrees Celsius.</t>
  </si>
  <si>
    <t>reactor_navigation_power: The main reactor supplies power to navigation and propulsion.</t>
  </si>
  <si>
    <t>coolant_maintenance: The coolant pumps passed inspection during the previous maintenance cycle.</t>
  </si>
  <si>
    <t>R-reactor_restart-02</t>
  </si>
  <si>
    <t>R-reactor_restart-03</t>
  </si>
  <si>
    <t>R-reactor_restart-04</t>
  </si>
  <si>
    <t>R-reactor_restart-05</t>
  </si>
  <si>
    <t>R-reactor_restart-06</t>
  </si>
  <si>
    <t>R-reactor_restart-07</t>
  </si>
  <si>
    <t>R-reactor_restart-08</t>
  </si>
  <si>
    <t>R-reactor_restart-09</t>
  </si>
  <si>
    <t>R-reactor_restart-10</t>
  </si>
  <si>
    <t>R-reactor_restart-11</t>
  </si>
  <si>
    <t>R-reactor_restart-12</t>
  </si>
  <si>
    <t>R-reactor_restart-13</t>
  </si>
  <si>
    <t>R-reactor_restart-14</t>
  </si>
  <si>
    <t>R-reactor_restart-15</t>
  </si>
  <si>
    <t>R-reactor_restart-16</t>
  </si>
  <si>
    <t>R-reactor_restart-17</t>
  </si>
  <si>
    <t>R-reactor_restart-18</t>
  </si>
  <si>
    <t>R-reactor_restart-19</t>
  </si>
  <si>
    <t>R-reactor_restart-20</t>
  </si>
  <si>
    <t>R-reactor_restart-21</t>
  </si>
  <si>
    <t>R-reactor_restart-22</t>
  </si>
  <si>
    <t>R-reactor_restart-23</t>
  </si>
  <si>
    <t>R-reactor_restart-24</t>
  </si>
  <si>
    <t>R-eva_thrusters-01</t>
  </si>
  <si>
    <t>thruster_eva_lockout: Maneuvering thrusters must remain locked when EVA personnel are inside the thruster safety zone.</t>
  </si>
  <si>
    <t>technician_beacon: The technician's suit beacon currently reports a position inside the thruster safety zone.</t>
  </si>
  <si>
    <t>spacesuit_oxygen: The technician's spacesuit has 90 minutes of oxygen remaining.</t>
  </si>
  <si>
    <t>thruster_docking_use: Maneuvering thrusters are normally used during docking operations.</t>
  </si>
  <si>
    <t>R-eva_thrusters-02</t>
  </si>
  <si>
    <t>R-eva_thrusters-03</t>
  </si>
  <si>
    <t>R-eva_thrusters-04</t>
  </si>
  <si>
    <t>R-eva_thrusters-05</t>
  </si>
  <si>
    <t>R-eva_thrusters-06</t>
  </si>
  <si>
    <t>R-eva_thrusters-07</t>
  </si>
  <si>
    <t>R-eva_thrusters-08</t>
  </si>
  <si>
    <t>R-eva_thrusters-09</t>
  </si>
  <si>
    <t>R-eva_thrusters-10</t>
  </si>
  <si>
    <t>R-eva_thrusters-11</t>
  </si>
  <si>
    <t>R-eva_thrusters-12</t>
  </si>
  <si>
    <t>R-eva_thrusters-13</t>
  </si>
  <si>
    <t>R-eva_thrusters-14</t>
  </si>
  <si>
    <t>R-eva_thrusters-15</t>
  </si>
  <si>
    <t>R-eva_thrusters-16</t>
  </si>
  <si>
    <t>R-eva_thrusters-17</t>
  </si>
  <si>
    <t>R-eva_thrusters-18</t>
  </si>
  <si>
    <t>R-eva_thrusters-19</t>
  </si>
  <si>
    <t>R-eva_thrusters-20</t>
  </si>
  <si>
    <t>R-eva_thrusters-21</t>
  </si>
  <si>
    <t>R-eva_thrusters-22</t>
  </si>
  <si>
    <t>R-eva_thrusters-23</t>
  </si>
  <si>
    <t>R-eva_thrusters-24</t>
  </si>
  <si>
    <t>R-antenna_storm-01</t>
  </si>
  <si>
    <t>antenna_debris_rule: The long-range antenna must remain retracted whenever a debris alert is active.</t>
  </si>
  <si>
    <t>storm_debris_status: The current micrometeor storm has triggered an active high-velocity debris alert.</t>
  </si>
  <si>
    <t>internal_communications: Internal crew communication uses a separate short-range network.</t>
  </si>
  <si>
    <t>antenna_signal_strength: The long-range antenna improves communication with distant stations.</t>
  </si>
  <si>
    <t>R-antenna_storm-02</t>
  </si>
  <si>
    <t>R-antenna_storm-03</t>
  </si>
  <si>
    <t>R-antenna_storm-04</t>
  </si>
  <si>
    <t>R-antenna_storm-05</t>
  </si>
  <si>
    <t>R-antenna_storm-06</t>
  </si>
  <si>
    <t>R-antenna_storm-07</t>
  </si>
  <si>
    <t>R-antenna_storm-08</t>
  </si>
  <si>
    <t>R-antenna_storm-09</t>
  </si>
  <si>
    <t>R-antenna_storm-10</t>
  </si>
  <si>
    <t>R-antenna_storm-11</t>
  </si>
  <si>
    <t>R-antenna_storm-12</t>
  </si>
  <si>
    <t>R-antenna_storm-13</t>
  </si>
  <si>
    <t>R-antenna_storm-14</t>
  </si>
  <si>
    <t>R-antenna_storm-15</t>
  </si>
  <si>
    <t>R-antenna_storm-16</t>
  </si>
  <si>
    <t>R-antenna_storm-17</t>
  </si>
  <si>
    <t>R-antenna_storm-18</t>
  </si>
  <si>
    <t>R-antenna_storm-19</t>
  </si>
  <si>
    <t>R-antenna_storm-20</t>
  </si>
  <si>
    <t>R-antenna_storm-21</t>
  </si>
  <si>
    <t>R-antenna_storm-22</t>
  </si>
  <si>
    <t>R-antenna_storm-23</t>
  </si>
  <si>
    <t>R-antenna_storm-24</t>
  </si>
  <si>
    <t>Representative ranking for each answer quality, every player assessment choice, and the skip-validation path.</t>
  </si>
  <si>
    <t>Path</t>
  </si>
  <si>
    <t>Rank 1</t>
  </si>
  <si>
    <t>Rank 2</t>
  </si>
  <si>
    <t>Rank 3</t>
  </si>
  <si>
    <t>Rank 4</t>
  </si>
  <si>
    <t>Actual Answer Type</t>
  </si>
  <si>
    <t>Player Choice</t>
  </si>
  <si>
    <t>Expected Feedback / Outcome</t>
  </si>
  <si>
    <t>V-solar_shield-G-G</t>
  </si>
  <si>
    <t>Validate</t>
  </si>
  <si>
    <t>CORRECT ASSESSMENT: This answer is Grounded.
Retrieval 100 | Ranking 100 | Grounding 100 | Citation 100 | Risk 0 | Trust 100
MISSION SUCCESS: The shield remains offline. Battery power is preserved for essential systems.</t>
  </si>
  <si>
    <t>Correct player assessment; actual quality remains Grounded.</t>
  </si>
  <si>
    <t>V-solar_shield-G-P</t>
  </si>
  <si>
    <t>ASSESSMENT NEEDS REVIEW: This answer is actually Grounded.
Retrieval 100 | Ranking 100 | Grounding 100 | Citation 100 | Risk 0 | Trust 100
MISSION SUCCESS: The shield remains offline. Battery power is preserved for essential systems.</t>
  </si>
  <si>
    <t>Incorrect player assessment; actual quality remains Grounded.</t>
  </si>
  <si>
    <t>V-solar_shield-G-R</t>
  </si>
  <si>
    <t>V-solar_shield-G-SKIP</t>
  </si>
  <si>
    <t>Provide Answer / Skip Validation</t>
  </si>
  <si>
    <t>N/A</t>
  </si>
  <si>
    <t>MISSION SUCCESS + PROCESS WARNING; trust 70. The shield remains offline. Battery power is preserved for essential systems.</t>
  </si>
  <si>
    <t>No validation assessment screen; outcome must match Grounded skip path.</t>
  </si>
  <si>
    <t>V-solar_shield-P-G</t>
  </si>
  <si>
    <t>ASSESSMENT NEEDS REVIEW: This answer is actually Partial.
Retrieval 50 | Ranking 85 | Grounding 60 | Citation 50 | Risk 40 | Trust 61
MISSION PROTECTED: Response held for more evidence; Try New Mission.</t>
  </si>
  <si>
    <t>Incorrect player assessment; actual quality remains Partial.</t>
  </si>
  <si>
    <t>V-solar_shield-P-P</t>
  </si>
  <si>
    <t>CORRECT ASSESSMENT: This answer is Partial.
Retrieval 50 | Ranking 85 | Grounding 60 | Citation 50 | Risk 40 | Trust 61
MISSION PROTECTED: Response held for more evidence; Try New Mission.</t>
  </si>
  <si>
    <t>Correct player assessment; actual quality remains Partial.</t>
  </si>
  <si>
    <t>V-solar_shield-P-R</t>
  </si>
  <si>
    <t>V-solar_shield-P-SKIP</t>
  </si>
  <si>
    <t>MISSION DELAYED; trust 35. The crew pauses the decision while battery reserves continue to fall.</t>
  </si>
  <si>
    <t>No validation assessment screen; outcome must match Partial skip path.</t>
  </si>
  <si>
    <t>V-solar_shield-R-G</t>
  </si>
  <si>
    <t>ASSESSMENT NEEDS REVIEW: This answer is actually Risky.
Retrieval 0 | Ranking 40 | Grounding 10 | Citation 0 | Risk 90 | Trust 12
RISK BLOCKED: Unsupported action prevented; Try New Mission.</t>
  </si>
  <si>
    <t>Incorrect player assessment; actual quality remains Risky.</t>
  </si>
  <si>
    <t>V-solar_shield-R-P</t>
  </si>
  <si>
    <t>V-solar_shield-R-R</t>
  </si>
  <si>
    <t>CORRECT ASSESSMENT: This answer is Risky.
Retrieval 0 | Ranking 40 | Grounding 10 | Citation 0 | Risk 90 | Trust 12
RISK BLOCKED: Unsupported action prevented; Try New Mission.</t>
  </si>
  <si>
    <t>Correct player assessment; actual quality remains Risky.</t>
  </si>
  <si>
    <t>V-solar_shield-R-SKIP</t>
  </si>
  <si>
    <t>GAME OVER; trust 5. The shield overloads the low-battery system and causes a shipwide power emergency.</t>
  </si>
  <si>
    <t>No validation assessment screen; outcome must match Risky skip path.</t>
  </si>
  <si>
    <t>V-cargo_bay-G-G</t>
  </si>
  <si>
    <t>CORRECT ASSESSMENT: This answer is Grounded.
Retrieval 100 | Ranking 100 | Grounding 100 | Citation 100 | Risk 0 | Trust 100
MISSION SUCCESS: The cargo bay remains sealed until the ship stops, preventing decompression and equipment loss.</t>
  </si>
  <si>
    <t>V-cargo_bay-G-P</t>
  </si>
  <si>
    <t>ASSESSMENT NEEDS REVIEW: This answer is actually Grounded.
Retrieval 100 | Ranking 100 | Grounding 100 | Citation 100 | Risk 0 | Trust 100
MISSION SUCCESS: The cargo bay remains sealed until the ship stops, preventing decompression and equipment loss.</t>
  </si>
  <si>
    <t>V-cargo_bay-G-R</t>
  </si>
  <si>
    <t>V-cargo_bay-G-SKIP</t>
  </si>
  <si>
    <t>MISSION SUCCESS + PROCESS WARNING; trust 70. The cargo bay remains sealed until the ship stops, preventing decompression and equipment loss.</t>
  </si>
  <si>
    <t>V-cargo_bay-P-G</t>
  </si>
  <si>
    <t>V-cargo_bay-P-P</t>
  </si>
  <si>
    <t>V-cargo_bay-P-R</t>
  </si>
  <si>
    <t>V-cargo_bay-P-SKIP</t>
  </si>
  <si>
    <t>MISSION DELAYED; trust 35. The crew pauses the cargo operation while confirming the ship-speed requirement.</t>
  </si>
  <si>
    <t>V-cargo_bay-R-G</t>
  </si>
  <si>
    <t>V-cargo_bay-R-P</t>
  </si>
  <si>
    <t>V-cargo_bay-R-R</t>
  </si>
  <si>
    <t>V-cargo_bay-R-SKIP</t>
  </si>
  <si>
    <t>GAME OVER; trust 5. The cargo bay opens at cruise speed, causing rapid decompression and the loss of critical equipment.</t>
  </si>
  <si>
    <t>V-reactor_restart-G-G</t>
  </si>
  <si>
    <t>CORRECT ASSESSMENT: This answer is Grounded.
Retrieval 100 | Ranking 100 | Grounding 100 | Citation 100 | Risk 0 | Trust 100
MISSION SUCCESS: The reactor remains offline while the coolant system lowers the temperature, preventing an overheat emergency.</t>
  </si>
  <si>
    <t>V-reactor_restart-G-P</t>
  </si>
  <si>
    <t>ASSESSMENT NEEDS REVIEW: This answer is actually Grounded.
Retrieval 100 | Ranking 100 | Grounding 100 | Citation 100 | Risk 0 | Trust 100
MISSION SUCCESS: The reactor remains offline while the coolant system lowers the temperature, preventing an overheat emergency.</t>
  </si>
  <si>
    <t>V-reactor_restart-G-R</t>
  </si>
  <si>
    <t>V-reactor_restart-G-SKIP</t>
  </si>
  <si>
    <t>MISSION SUCCESS + PROCESS WARNING; trust 70. The reactor remains offline while the coolant system lowers the temperature, preventing an overheat emergency.</t>
  </si>
  <si>
    <t>V-reactor_restart-P-G</t>
  </si>
  <si>
    <t>V-reactor_restart-P-P</t>
  </si>
  <si>
    <t>V-reactor_restart-P-R</t>
  </si>
  <si>
    <t>V-reactor_restart-P-SKIP</t>
  </si>
  <si>
    <t>MISSION DELAYED; trust 35. The crew postpones the restart while engineers verify the coolant temperature.</t>
  </si>
  <si>
    <t>V-reactor_restart-R-G</t>
  </si>
  <si>
    <t>V-reactor_restart-R-P</t>
  </si>
  <si>
    <t>V-reactor_restart-R-R</t>
  </si>
  <si>
    <t>V-reactor_restart-R-SKIP</t>
  </si>
  <si>
    <t>GAME OVER; trust 5. The reactor restarts while overheated, triggering a reactor fire and an emergency power shutdown.</t>
  </si>
  <si>
    <t>V-eva_thrusters-G-G</t>
  </si>
  <si>
    <t>CORRECT ASSESSMENT: This answer is Grounded.
Retrieval 100 | Ranking 100 | Grounding 100 | Citation 100 | Risk 0 | Trust 100
MISSION SUCCESS: The thrusters remain locked until the technician leaves the safety zone, preventing an EVA accident.</t>
  </si>
  <si>
    <t>V-eva_thrusters-G-P</t>
  </si>
  <si>
    <t>ASSESSMENT NEEDS REVIEW: This answer is actually Grounded.
Retrieval 100 | Ranking 100 | Grounding 100 | Citation 100 | Risk 0 | Trust 100
MISSION SUCCESS: The thrusters remain locked until the technician leaves the safety zone, preventing an EVA accident.</t>
  </si>
  <si>
    <t>V-eva_thrusters-G-R</t>
  </si>
  <si>
    <t>V-eva_thrusters-G-SKIP</t>
  </si>
  <si>
    <t>MISSION SUCCESS + PROCESS WARNING; trust 70. The thrusters remain locked until the technician leaves the safety zone, preventing an EVA accident.</t>
  </si>
  <si>
    <t>V-eva_thrusters-P-G</t>
  </si>
  <si>
    <t>V-eva_thrusters-P-P</t>
  </si>
  <si>
    <t>V-eva_thrusters-P-R</t>
  </si>
  <si>
    <t>V-eva_thrusters-P-SKIP</t>
  </si>
  <si>
    <t>MISSION DELAYED; trust 35. The maneuver is postponed while the crew confirms the technician's location.</t>
  </si>
  <si>
    <t>V-eva_thrusters-R-G</t>
  </si>
  <si>
    <t>V-eva_thrusters-R-P</t>
  </si>
  <si>
    <t>V-eva_thrusters-R-R</t>
  </si>
  <si>
    <t>V-eva_thrusters-R-SKIP</t>
  </si>
  <si>
    <t>GAME OVER; trust 5. The thruster blast pushes the technician away from the ship and damages critical spacesuit equipment.</t>
  </si>
  <si>
    <t>V-antenna_storm-G-G</t>
  </si>
  <si>
    <t>CORRECT ASSESSMENT: This answer is Grounded.
Retrieval 100 | Ranking 100 | Grounding 100 | Citation 100 | Risk 0 | Trust 100
MISSION SUCCESS: The antenna remains protected until the storm passes, preserving long-range communications.</t>
  </si>
  <si>
    <t>V-antenna_storm-G-P</t>
  </si>
  <si>
    <t>ASSESSMENT NEEDS REVIEW: This answer is actually Grounded.
Retrieval 100 | Ranking 100 | Grounding 100 | Citation 100 | Risk 0 | Trust 100
MISSION SUCCESS: The antenna remains protected until the storm passes, preserving long-range communications.</t>
  </si>
  <si>
    <t>V-antenna_storm-G-R</t>
  </si>
  <si>
    <t>V-antenna_storm-G-SKIP</t>
  </si>
  <si>
    <t>MISSION SUCCESS + PROCESS WARNING; trust 70. The antenna remains protected until the storm passes, preserving long-range communications.</t>
  </si>
  <si>
    <t>V-antenna_storm-P-G</t>
  </si>
  <si>
    <t>V-antenna_storm-P-P</t>
  </si>
  <si>
    <t>V-antenna_storm-P-R</t>
  </si>
  <si>
    <t>V-antenna_storm-P-SKIP</t>
  </si>
  <si>
    <t>MISSION DELAYED; trust 35. The crew postpones external communication while checking the debris alert.</t>
  </si>
  <si>
    <t>V-antenna_storm-R-G</t>
  </si>
  <si>
    <t>V-antenna_storm-R-P</t>
  </si>
  <si>
    <t>V-antenna_storm-R-R</t>
  </si>
  <si>
    <t>V-antenna_storm-R-SKIP</t>
  </si>
  <si>
    <t>GAME OVER; trust 5. High-velocity debris strikes the extended antenna, destroying the ship's long-range communication system.</t>
  </si>
  <si>
    <t>Temporarily edit MissionData in the Inspector, run the stated ranking, record the real result, then restore the original data.</t>
  </si>
  <si>
    <t>Mutation</t>
  </si>
  <si>
    <t>Inspector Edit</t>
  </si>
  <si>
    <t>Expected Behavior</t>
  </si>
  <si>
    <t>M-solar_shield-01</t>
  </si>
  <si>
    <t>Baseline metadata</t>
  </si>
  <si>
    <t>No edit. Keep K1=1, K2=2, D1=0, D2=0.</t>
  </si>
  <si>
    <t>Normal grounded control case.</t>
  </si>
  <si>
    <t>Grounded; Retrieval 100; Ranking 100; Trust 100.</t>
  </si>
  <si>
    <t>M-solar_shield-02</t>
  </si>
  <si>
    <t>Swap key ideal ranks</t>
  </si>
  <si>
    <t>Set original K1 idealRank=2 and original K2 idealRank=1.</t>
  </si>
  <si>
    <t>Both metadata keys remain in the top two, but their ideal positions are reversed.</t>
  </si>
  <si>
    <t>Grounded; Retrieval 100; Ranking 70; Trust 94.</t>
  </si>
  <si>
    <t>M-solar_shield-03</t>
  </si>
  <si>
    <t>Remove K2 key metadata</t>
  </si>
  <si>
    <t>Set original K2 idealRank from 2 to 0.</t>
  </si>
  <si>
    <t>Only idealRank 1 can be found even though all four cards are ranked.</t>
  </si>
  <si>
    <t>Partial; Retrieval 50; Ranking 50; Trust 54.</t>
  </si>
  <si>
    <t>M-solar_shield-04</t>
  </si>
  <si>
    <t>False key duplicate (idealRank 1)</t>
  </si>
  <si>
    <t>Set D1 idealRank from 0 to 1. Keep K1=1 and K2=2.</t>
  </si>
  <si>
    <t>The first top-ranked idealRank 1 card is the distractor, exposing metadata dependence.</t>
  </si>
  <si>
    <t>Grounded false positive; expected metrics can reach Retrieval 100, Ranking 100, Trust 100 despite wrong evidence text.</t>
  </si>
  <si>
    <t>M-solar_shield-05</t>
  </si>
  <si>
    <t>Contradictory wording only</t>
  </si>
  <si>
    <t>Change D1 text to contradict the correct answer; keep all idealRank values unchanged.</t>
  </si>
  <si>
    <t>Text meaning is not evaluated in Version 1; original metadata still controls the result.</t>
  </si>
  <si>
    <t>Partial; text contradiction alone must not change quality.</t>
  </si>
  <si>
    <t>M-solar_shield-06</t>
  </si>
  <si>
    <t>Blank key evidence text</t>
  </si>
  <si>
    <t>Temporarily clear K1 evidence text; keep idealRank=1.</t>
  </si>
  <si>
    <t>Scoring still recognizes K1 metadata, but the card should visibly expose missing content.</t>
  </si>
  <si>
    <t>Grounded; Trust 100; UI/content defect should be noted in Real Result.</t>
  </si>
  <si>
    <t>M-solar_shield-07</t>
  </si>
  <si>
    <t>Long evidence text</t>
  </si>
  <si>
    <t>Replace K2 text with at least 180 characters; keep idealRank=2.</t>
  </si>
  <si>
    <t>Logic remains grounded; card text should wrap without clipping or overlapping controls.</t>
  </si>
  <si>
    <t>Grounded; Trust 100; no UI clipping, overflow, or unreadable text.</t>
  </si>
  <si>
    <t>M-cargo_bay-01</t>
  </si>
  <si>
    <t>M-cargo_bay-02</t>
  </si>
  <si>
    <t>M-cargo_bay-03</t>
  </si>
  <si>
    <t>M-cargo_bay-04</t>
  </si>
  <si>
    <t>M-cargo_bay-05</t>
  </si>
  <si>
    <t>M-cargo_bay-06</t>
  </si>
  <si>
    <t>M-cargo_bay-07</t>
  </si>
  <si>
    <t>M-reactor_restart-01</t>
  </si>
  <si>
    <t>M-reactor_restart-02</t>
  </si>
  <si>
    <t>M-reactor_restart-03</t>
  </si>
  <si>
    <t>M-reactor_restart-04</t>
  </si>
  <si>
    <t>M-reactor_restart-05</t>
  </si>
  <si>
    <t>M-reactor_restart-06</t>
  </si>
  <si>
    <t>M-reactor_restart-07</t>
  </si>
  <si>
    <t>M-eva_thrusters-01</t>
  </si>
  <si>
    <t>M-eva_thrusters-02</t>
  </si>
  <si>
    <t>M-eva_thrusters-03</t>
  </si>
  <si>
    <t>M-eva_thrusters-04</t>
  </si>
  <si>
    <t>M-eva_thrusters-05</t>
  </si>
  <si>
    <t>M-eva_thrusters-06</t>
  </si>
  <si>
    <t>M-eva_thrusters-07</t>
  </si>
  <si>
    <t>M-antenna_storm-01</t>
  </si>
  <si>
    <t>M-antenna_storm-02</t>
  </si>
  <si>
    <t>M-antenna_storm-03</t>
  </si>
  <si>
    <t>M-antenna_storm-04</t>
  </si>
  <si>
    <t>M-antenna_storm-05</t>
  </si>
  <si>
    <t>M-antenna_storm-06</t>
  </si>
  <si>
    <t>M-antenna_storm-07</t>
  </si>
  <si>
    <t>Session &amp; Interaction Tests</t>
  </si>
  <si>
    <t>Randomization, progress, UI gating, scene transitions, summary counters, and controller continuity.</t>
  </si>
  <si>
    <t>Area</t>
  </si>
  <si>
    <t>Precondition</t>
  </si>
  <si>
    <t>Severity</t>
  </si>
  <si>
    <t>S-01</t>
  </si>
  <si>
    <t>Mission start</t>
  </si>
  <si>
    <t>New session</t>
  </si>
  <si>
    <t>Click Begin Mission</t>
  </si>
  <si>
    <t>Mission 1/3 displays one random mission; outcome/summary panels remain inactive.</t>
  </si>
  <si>
    <t>Critical</t>
  </si>
  <si>
    <t>S-02</t>
  </si>
  <si>
    <t>Evidence shuffle</t>
  </si>
  <si>
    <t>Same mission available repeatedly</t>
  </si>
  <si>
    <t>Open evidence on several attempts</t>
  </si>
  <si>
    <t>Evidence A-D display order changes while each stable evidence ID keeps its correct idealRank metadata.</t>
  </si>
  <si>
    <t>Major</t>
  </si>
  <si>
    <t>S-03</t>
  </si>
  <si>
    <t>Try New Mission</t>
  </si>
  <si>
    <t>A mission is active</t>
  </si>
  <si>
    <t>Click Try New Mission</t>
  </si>
  <si>
    <t>A different random question loads when another unused mission is available.</t>
  </si>
  <si>
    <t>S-04</t>
  </si>
  <si>
    <t>Progress</t>
  </si>
  <si>
    <t>Mission 1/3; partial or risky outcome</t>
  </si>
  <si>
    <t>Progress remains Mission 1/3 because no grounded mission was completed.</t>
  </si>
  <si>
    <t>S-05</t>
  </si>
  <si>
    <t>No repeats</t>
  </si>
  <si>
    <t>Fresh session with five missions</t>
  </si>
  <si>
    <t>Use Try New Mission repeatedly</t>
  </si>
  <si>
    <t>No mission repeats until all five mission indices have been used.</t>
  </si>
  <si>
    <t>S-06</t>
  </si>
  <si>
    <t>Pool recycle</t>
  </si>
  <si>
    <t>All five missions have appeared</t>
  </si>
  <si>
    <t>Request another new mission</t>
  </si>
  <si>
    <t>Used-mission list clears and a mission can appear again without errors.</t>
  </si>
  <si>
    <t>Minor</t>
  </si>
  <si>
    <t>S-07</t>
  </si>
  <si>
    <t>Answer variants</t>
  </si>
  <si>
    <t>Same answer quality produced repeatedly</t>
  </si>
  <si>
    <t>Repeat attempts</t>
  </si>
  <si>
    <t>Both predefined variants for that quality can appear over multiple runs; no live LLM call occurs.</t>
  </si>
  <si>
    <t>S-08</t>
  </si>
  <si>
    <t>LLM gating</t>
  </si>
  <si>
    <t>0 ranking slots filled</t>
  </si>
  <si>
    <t>View Send to LLM button</t>
  </si>
  <si>
    <t>Button is disabled and cannot open LLM Output.</t>
  </si>
  <si>
    <t>S-09</t>
  </si>
  <si>
    <t>1 ranking slot filled</t>
  </si>
  <si>
    <t>Button remains disabled.</t>
  </si>
  <si>
    <t>S-10</t>
  </si>
  <si>
    <t>2 ranking slots filled</t>
  </si>
  <si>
    <t>S-11</t>
  </si>
  <si>
    <t>3 ranking slots filled</t>
  </si>
  <si>
    <t>S-12</t>
  </si>
  <si>
    <t>4 ranking slots filled</t>
  </si>
  <si>
    <t>Button enables and opens the loading/output flow when selected.</t>
  </si>
  <si>
    <t>S-13</t>
  </si>
  <si>
    <t>Grounded progress</t>
  </si>
  <si>
    <t>Grounded answer completed</t>
  </si>
  <si>
    <t>Validate or provide answer, then Next Mission</t>
  </si>
  <si>
    <t>Mission-completed count increments by one and the next progress label updates.</t>
  </si>
  <si>
    <t>S-14</t>
  </si>
  <si>
    <t>Partial outcome</t>
  </si>
  <si>
    <t>Partial ranking</t>
  </si>
  <si>
    <t>Complete validation path</t>
  </si>
  <si>
    <t>Mission Protected appears; Try New Mission is available; progress does not increment.</t>
  </si>
  <si>
    <t>S-15</t>
  </si>
  <si>
    <t>Risky outcome</t>
  </si>
  <si>
    <t>Risky ranking</t>
  </si>
  <si>
    <t>Skip validation</t>
  </si>
  <si>
    <t>Game Over appears with the mission failure consequence; progress does not increment.</t>
  </si>
  <si>
    <t>S-16</t>
  </si>
  <si>
    <t>Final summary</t>
  </si>
  <si>
    <t>Two grounded missions completed</t>
  </si>
  <si>
    <t>Complete a third grounded mission</t>
  </si>
  <si>
    <t>Performance Summary appears only after 3/3 successful missions.</t>
  </si>
  <si>
    <t>S-17</t>
  </si>
  <si>
    <t>Summary counters</t>
  </si>
  <si>
    <t>Mixed validation choices across three successes</t>
  </si>
  <si>
    <t>Reach summary</t>
  </si>
  <si>
    <t>Completed, Grounded, Validated, Skipped, and Average Trust values equal the recorded attempts.</t>
  </si>
  <si>
    <t>S-18</t>
  </si>
  <si>
    <t>Play Again</t>
  </si>
  <si>
    <t>Summary visible</t>
  </si>
  <si>
    <t>Click Play Again</t>
  </si>
  <si>
    <t>Session counters and used mission indices reset; a new Mission 1/3 begins.</t>
  </si>
  <si>
    <t>S-19</t>
  </si>
  <si>
    <t>Main Menu</t>
  </si>
  <si>
    <t>Click Main Menu</t>
  </si>
  <si>
    <t>00_MainMenu loads; starting again begins a clean Mission 1/3 session.</t>
  </si>
  <si>
    <t>S-20</t>
  </si>
  <si>
    <t>Scene transition</t>
  </si>
  <si>
    <t>XR simulator active in Main Menu</t>
  </si>
  <si>
    <t>Load 01_SpaceMission</t>
  </si>
  <si>
    <t>Head/controllers continue responding; only one XR Interaction Simulator and one active EventSystem are present.</t>
  </si>
  <si>
    <t>S-21</t>
  </si>
  <si>
    <t>Validation summary</t>
  </si>
  <si>
    <t>Grounded attempt skips validation</t>
  </si>
  <si>
    <t>Validation Skipped increments and the attempt contributes trust 70.</t>
  </si>
  <si>
    <t>S-22</t>
  </si>
  <si>
    <t>UI readability</t>
  </si>
  <si>
    <t>All gameplay panels</t>
  </si>
  <si>
    <t>Inspect in Editor simulator</t>
  </si>
  <si>
    <t>No text clipping, panel overlap, off-center content, or controller obstruction at normal view.</t>
  </si>
  <si>
    <t>Run</t>
  </si>
  <si>
    <t>Working</t>
  </si>
  <si>
    <t xml:space="preserve"> Run</t>
  </si>
  <si>
    <t>Success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</si>
</sst>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quot;"/>
  </numFmts>
  <fonts count="20">
    <font>
      <sz val="11"/>
      <name val="Carlito"/>
    </font>
    <font>
      <b/>
      <sz val="20"/>
      <color rgb="FF52D6FF"/>
      <name val="Carlito"/>
    </font>
    <font>
      <sz val="10"/>
      <color rgb="FFD9E6F2"/>
      <name val="Carlito"/>
    </font>
    <font>
      <b/>
      <sz val="12"/>
      <color rgb="FFF3F8FC"/>
      <name val="Carlito"/>
    </font>
    <font>
      <b/>
      <sz val="10"/>
      <color rgb="FFF3F8FC"/>
      <name val="Carlito"/>
    </font>
    <font>
      <b/>
      <sz val="16"/>
      <color rgb="FF0B1628"/>
      <name val="Carlito"/>
    </font>
    <font>
      <sz val="14"/>
      <name val="Carlito"/>
    </font>
    <font>
      <sz val="16"/>
      <color rgb="FF1F2937"/>
      <name val="Carlito"/>
    </font>
    <font>
      <sz val="14"/>
      <color rgb="FF1F3A4D"/>
      <name val="Carlito"/>
    </font>
    <font>
      <b/>
      <sz val="16"/>
      <color rgb="FFF3F8FC"/>
      <name val="Carlito"/>
    </font>
    <font>
      <sz val="16"/>
      <name val="Carlito"/>
    </font>
    <font>
      <sz val="16"/>
      <color rgb="FF163247"/>
      <name val="Carlito"/>
    </font>
    <font>
      <sz val="14"/>
      <color rgb="FFD9E6F2"/>
      <name val="Carlito"/>
    </font>
    <font>
      <sz val="16"/>
      <color rgb="FFD9E6F2"/>
      <name val="Carlito"/>
    </font>
    <font>
      <b/>
      <sz val="18"/>
      <color rgb="FFF3F8FC"/>
      <name val="Carlito"/>
    </font>
    <font>
      <sz val="18"/>
      <color rgb="FF1F2937"/>
      <name val="Carlito"/>
    </font>
    <font>
      <sz val="18"/>
      <color rgb="FFD9E6F2"/>
      <name val="Carlito"/>
    </font>
    <font>
      <b/>
      <sz val="22"/>
      <color rgb="FF52D6FF"/>
      <name val="Carlito"/>
    </font>
    <font>
      <b/>
      <sz val="24"/>
      <color rgb="FF52D6FF"/>
      <name val="Carlito"/>
    </font>
    <font>
      <b/>
      <sz val="14"/>
      <color rgb="FFF3F8FC"/>
      <name val="Carlito"/>
    </font>
  </fonts>
  <fills count="10">
    <fill>
      <patternFill patternType="none"/>
    </fill>
    <fill>
      <patternFill patternType="gray125"/>
    </fill>
    <fill>
      <patternFill patternType="solid">
        <fgColor rgb="FF0B1628"/>
      </patternFill>
    </fill>
    <fill>
      <patternFill patternType="solid">
        <fgColor rgb="FF102A43"/>
      </patternFill>
    </fill>
    <fill>
      <patternFill patternType="solid">
        <fgColor rgb="FF1C4966"/>
      </patternFill>
    </fill>
    <fill>
      <patternFill patternType="solid">
        <fgColor rgb="FFEAF4FA"/>
      </patternFill>
    </fill>
    <fill>
      <patternFill patternType="solid">
        <fgColor rgb="FFFFF2CC"/>
      </patternFill>
    </fill>
    <fill>
      <patternFill patternType="solid">
        <fgColor rgb="FFE7E6E6"/>
      </patternFill>
    </fill>
    <fill>
      <patternFill patternType="solid">
        <fgColor rgb="FFDDEBF7"/>
      </patternFill>
    </fill>
    <fill>
      <patternFill patternType="solid">
        <fgColor rgb="FFF3F8FC"/>
      </patternFill>
    </fill>
  </fills>
  <borders count="15">
    <border>
      <left/>
      <right/>
      <top/>
      <bottom/>
      <diagonal/>
    </border>
    <border>
      <left style="thin">
        <color rgb="FF33546D"/>
      </left>
      <right/>
      <top style="thin">
        <color rgb="FF33546D"/>
      </top>
      <bottom style="thin">
        <color rgb="FF33546D"/>
      </bottom>
      <diagonal/>
    </border>
    <border>
      <left/>
      <right/>
      <top style="thin">
        <color rgb="FF33546D"/>
      </top>
      <bottom style="thin">
        <color rgb="FF33546D"/>
      </bottom>
      <diagonal/>
    </border>
    <border>
      <left/>
      <right style="thin">
        <color rgb="FF33546D"/>
      </right>
      <top style="thin">
        <color rgb="FF33546D"/>
      </top>
      <bottom style="thin">
        <color rgb="FF33546D"/>
      </bottom>
      <diagonal/>
    </border>
    <border>
      <left/>
      <right/>
      <top/>
      <bottom style="thin">
        <color rgb="FFDCE6EE"/>
      </bottom>
      <diagonal/>
    </border>
    <border>
      <left/>
      <right/>
      <top style="thin">
        <color rgb="FFDCE6EE"/>
      </top>
      <bottom style="thin">
        <color rgb="FFDCE6EE"/>
      </bottom>
      <diagonal/>
    </border>
    <border>
      <left style="thin">
        <color rgb="FF33546D"/>
      </left>
      <right/>
      <top style="thin">
        <color rgb="FF33546D"/>
      </top>
      <bottom/>
      <diagonal/>
    </border>
    <border>
      <left/>
      <right/>
      <top style="thin">
        <color rgb="FF33546D"/>
      </top>
      <bottom/>
      <diagonal/>
    </border>
    <border>
      <left/>
      <right style="thin">
        <color rgb="FF33546D"/>
      </right>
      <top style="thin">
        <color rgb="FF33546D"/>
      </top>
      <bottom/>
      <diagonal/>
    </border>
    <border>
      <left style="thin">
        <color rgb="FF33546D"/>
      </left>
      <right/>
      <top/>
      <bottom/>
      <diagonal/>
    </border>
    <border>
      <left/>
      <right style="thin">
        <color rgb="FF33546D"/>
      </right>
      <top/>
      <bottom/>
      <diagonal/>
    </border>
    <border>
      <left style="thin">
        <color rgb="FF33546D"/>
      </left>
      <right/>
      <top/>
      <bottom style="thin">
        <color rgb="FF33546D"/>
      </bottom>
      <diagonal/>
    </border>
    <border>
      <left/>
      <right/>
      <top/>
      <bottom style="thin">
        <color rgb="FF33546D"/>
      </bottom>
      <diagonal/>
    </border>
    <border>
      <left/>
      <right style="thin">
        <color rgb="FF33546D"/>
      </right>
      <top/>
      <bottom style="thin">
        <color rgb="FF33546D"/>
      </bottom>
      <diagonal/>
    </border>
    <border>
      <left style="thin">
        <color rgb="FFB8CAD8"/>
      </left>
      <right style="thin">
        <color rgb="FFB8CAD8"/>
      </right>
      <top style="thin">
        <color rgb="FFB8CAD8"/>
      </top>
      <bottom style="thin">
        <color rgb="FFB8CAD8"/>
      </bottom>
      <diagonal/>
    </border>
  </borders>
  <cellStyleXfs count="1">
    <xf numFmtId="0" fontId="0" fillId="0" borderId="0"/>
  </cellStyleXfs>
  <cellXfs count="73">
    <xf numFmtId="0" fontId="0" fillId="0" borderId="0" xfId="0"/>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0" fillId="0" borderId="0" xfId="0" applyAlignment="1">
      <alignment vertical="center"/>
    </xf>
    <xf numFmtId="1" fontId="5" fillId="9" borderId="14" xfId="0" applyNumberFormat="1" applyFont="1" applyFill="1" applyBorder="1" applyAlignment="1">
      <alignment horizontal="center" vertical="center"/>
    </xf>
    <xf numFmtId="0" fontId="7" fillId="0" borderId="4" xfId="0" applyFont="1" applyBorder="1" applyAlignment="1">
      <alignment vertical="center" wrapText="1"/>
    </xf>
    <xf numFmtId="0" fontId="7" fillId="5" borderId="4" xfId="0" applyFont="1" applyFill="1" applyBorder="1" applyAlignment="1">
      <alignment vertical="center" wrapText="1"/>
    </xf>
    <xf numFmtId="164" fontId="7" fillId="5" borderId="4" xfId="0" applyNumberFormat="1" applyFont="1" applyFill="1" applyBorder="1" applyAlignment="1">
      <alignment vertical="center" wrapText="1"/>
    </xf>
    <xf numFmtId="0" fontId="7" fillId="6" borderId="4" xfId="0" applyFont="1" applyFill="1" applyBorder="1" applyAlignment="1">
      <alignment vertical="center" wrapText="1"/>
    </xf>
    <xf numFmtId="0" fontId="7" fillId="7" borderId="4" xfId="0" applyFont="1" applyFill="1" applyBorder="1" applyAlignment="1">
      <alignment vertical="center" wrapText="1"/>
    </xf>
    <xf numFmtId="0" fontId="7" fillId="8" borderId="4" xfId="0" applyFont="1" applyFill="1" applyBorder="1" applyAlignment="1">
      <alignment vertical="center" wrapText="1"/>
    </xf>
    <xf numFmtId="0" fontId="7" fillId="0" borderId="5" xfId="0" applyFont="1" applyBorder="1" applyAlignment="1">
      <alignment vertical="center" wrapText="1"/>
    </xf>
    <xf numFmtId="0" fontId="7" fillId="5" borderId="5" xfId="0" applyFont="1" applyFill="1" applyBorder="1" applyAlignment="1">
      <alignment vertical="center" wrapText="1"/>
    </xf>
    <xf numFmtId="164" fontId="7" fillId="5" borderId="5" xfId="0" applyNumberFormat="1" applyFont="1" applyFill="1" applyBorder="1" applyAlignment="1">
      <alignment vertical="center" wrapText="1"/>
    </xf>
    <xf numFmtId="0" fontId="7" fillId="6" borderId="5" xfId="0" applyFont="1" applyFill="1" applyBorder="1" applyAlignment="1">
      <alignment vertical="center" wrapText="1"/>
    </xf>
    <xf numFmtId="0" fontId="7" fillId="7" borderId="5" xfId="0" applyFont="1" applyFill="1" applyBorder="1" applyAlignment="1">
      <alignment vertical="center" wrapText="1"/>
    </xf>
    <xf numFmtId="0" fontId="7" fillId="8" borderId="5" xfId="0" applyFont="1" applyFill="1" applyBorder="1" applyAlignment="1">
      <alignment vertical="center" wrapText="1"/>
    </xf>
    <xf numFmtId="0" fontId="9" fillId="4" borderId="1"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10" fillId="0" borderId="0" xfId="0" applyFont="1" applyAlignment="1">
      <alignment vertical="center"/>
    </xf>
    <xf numFmtId="0" fontId="11" fillId="5" borderId="14" xfId="0" applyFont="1" applyFill="1" applyBorder="1" applyAlignment="1">
      <alignment vertical="center"/>
    </xf>
    <xf numFmtId="0" fontId="10" fillId="0" borderId="0" xfId="0" applyFont="1"/>
    <xf numFmtId="0" fontId="11" fillId="9" borderId="14" xfId="0" applyFont="1" applyFill="1" applyBorder="1" applyAlignment="1">
      <alignment vertical="center"/>
    </xf>
    <xf numFmtId="9" fontId="11" fillId="9" borderId="14" xfId="0" applyNumberFormat="1" applyFont="1" applyFill="1" applyBorder="1" applyAlignment="1">
      <alignment vertical="center"/>
    </xf>
    <xf numFmtId="0" fontId="14" fillId="4" borderId="1" xfId="0" applyFont="1" applyFill="1" applyBorder="1" applyAlignment="1">
      <alignment horizontal="center" vertical="center" wrapText="1"/>
    </xf>
    <xf numFmtId="0" fontId="14" fillId="4" borderId="2" xfId="0" applyFont="1" applyFill="1" applyBorder="1" applyAlignment="1">
      <alignment horizontal="center" vertical="center" wrapText="1"/>
    </xf>
    <xf numFmtId="0" fontId="14" fillId="4" borderId="3" xfId="0" applyFont="1" applyFill="1" applyBorder="1" applyAlignment="1">
      <alignment horizontal="center" vertical="center" wrapText="1"/>
    </xf>
    <xf numFmtId="0" fontId="7" fillId="0" borderId="4" xfId="0" applyFont="1" applyBorder="1" applyAlignment="1">
      <alignment horizontal="center" vertical="center" wrapText="1"/>
    </xf>
    <xf numFmtId="0" fontId="0" fillId="0" borderId="0" xfId="0" applyAlignment="1">
      <alignment horizontal="center" vertical="center"/>
    </xf>
    <xf numFmtId="0" fontId="7" fillId="0" borderId="5" xfId="0" applyFont="1" applyBorder="1" applyAlignment="1">
      <alignment horizontal="center" vertical="center" wrapText="1"/>
    </xf>
    <xf numFmtId="0" fontId="0" fillId="0" borderId="0" xfId="0" applyAlignment="1">
      <alignment horizontal="center"/>
    </xf>
    <xf numFmtId="0" fontId="6" fillId="0" borderId="0" xfId="0" applyFont="1" applyAlignment="1">
      <alignment horizontal="center" vertical="center"/>
    </xf>
    <xf numFmtId="0" fontId="10" fillId="0" borderId="0" xfId="0" applyFont="1" applyAlignment="1">
      <alignment horizontal="center" vertical="center"/>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0" fillId="0" borderId="0" xfId="0" applyFont="1" applyAlignment="1">
      <alignment horizontal="center"/>
    </xf>
    <xf numFmtId="0" fontId="1" fillId="2" borderId="0" xfId="0" applyFont="1" applyFill="1" applyAlignment="1">
      <alignment horizontal="center" vertical="center"/>
    </xf>
    <xf numFmtId="0" fontId="16" fillId="3" borderId="0" xfId="0" applyFont="1" applyFill="1" applyAlignment="1">
      <alignment horizontal="center" vertical="center" wrapText="1"/>
    </xf>
    <xf numFmtId="0" fontId="14" fillId="4" borderId="0" xfId="0" applyFont="1" applyFill="1" applyAlignment="1">
      <alignment horizontal="center" vertical="center"/>
    </xf>
    <xf numFmtId="0" fontId="9" fillId="4" borderId="0" xfId="0" applyFont="1" applyFill="1" applyAlignment="1">
      <alignment vertical="center"/>
    </xf>
    <xf numFmtId="0" fontId="11" fillId="5" borderId="6" xfId="0" applyFont="1" applyFill="1" applyBorder="1" applyAlignment="1">
      <alignment vertical="center" wrapText="1"/>
    </xf>
    <xf numFmtId="0" fontId="11" fillId="5" borderId="7" xfId="0" applyFont="1" applyFill="1" applyBorder="1" applyAlignment="1">
      <alignment vertical="center" wrapText="1"/>
    </xf>
    <xf numFmtId="0" fontId="11" fillId="5" borderId="8" xfId="0" applyFont="1" applyFill="1" applyBorder="1" applyAlignment="1">
      <alignment vertical="center" wrapText="1"/>
    </xf>
    <xf numFmtId="0" fontId="11" fillId="5" borderId="9" xfId="0" applyFont="1" applyFill="1" applyBorder="1" applyAlignment="1">
      <alignment vertical="center" wrapText="1"/>
    </xf>
    <xf numFmtId="0" fontId="11" fillId="5" borderId="0" xfId="0" applyFont="1" applyFill="1" applyAlignment="1">
      <alignment vertical="center" wrapText="1"/>
    </xf>
    <xf numFmtId="0" fontId="11" fillId="5" borderId="10" xfId="0" applyFont="1" applyFill="1" applyBorder="1" applyAlignment="1">
      <alignment vertical="center" wrapText="1"/>
    </xf>
    <xf numFmtId="0" fontId="11" fillId="5" borderId="11" xfId="0" applyFont="1" applyFill="1" applyBorder="1" applyAlignment="1">
      <alignment vertical="center" wrapText="1"/>
    </xf>
    <xf numFmtId="0" fontId="11" fillId="5" borderId="12" xfId="0" applyFont="1" applyFill="1" applyBorder="1" applyAlignment="1">
      <alignment vertical="center" wrapText="1"/>
    </xf>
    <xf numFmtId="0" fontId="11" fillId="5" borderId="13" xfId="0" applyFont="1" applyFill="1" applyBorder="1" applyAlignment="1">
      <alignment vertical="center" wrapText="1"/>
    </xf>
    <xf numFmtId="0" fontId="2" fillId="3" borderId="0" xfId="0" applyFont="1" applyFill="1" applyAlignment="1">
      <alignment horizontal="center" vertical="center" wrapText="1"/>
    </xf>
    <xf numFmtId="0" fontId="9" fillId="4" borderId="0" xfId="0" applyFont="1" applyFill="1" applyAlignment="1">
      <alignment horizontal="left" vertical="center"/>
    </xf>
    <xf numFmtId="0" fontId="3" fillId="4" borderId="0" xfId="0" applyFont="1" applyFill="1" applyAlignment="1">
      <alignment vertical="center"/>
    </xf>
    <xf numFmtId="0" fontId="8" fillId="5" borderId="6" xfId="0" applyFont="1" applyFill="1" applyBorder="1" applyAlignment="1">
      <alignment vertical="center" wrapText="1"/>
    </xf>
    <xf numFmtId="0" fontId="8" fillId="5" borderId="7" xfId="0" applyFont="1" applyFill="1" applyBorder="1" applyAlignment="1">
      <alignment vertical="center" wrapText="1"/>
    </xf>
    <xf numFmtId="0" fontId="8" fillId="5" borderId="8" xfId="0" applyFont="1" applyFill="1" applyBorder="1" applyAlignment="1">
      <alignment vertical="center" wrapText="1"/>
    </xf>
    <xf numFmtId="0" fontId="8" fillId="5" borderId="9" xfId="0" applyFont="1" applyFill="1" applyBorder="1" applyAlignment="1">
      <alignment vertical="center" wrapText="1"/>
    </xf>
    <xf numFmtId="0" fontId="8" fillId="5" borderId="0" xfId="0" applyFont="1" applyFill="1" applyAlignment="1">
      <alignment vertical="center" wrapText="1"/>
    </xf>
    <xf numFmtId="0" fontId="8" fillId="5" borderId="10" xfId="0" applyFont="1" applyFill="1" applyBorder="1" applyAlignment="1">
      <alignment vertical="center" wrapText="1"/>
    </xf>
    <xf numFmtId="0" fontId="8" fillId="5" borderId="11" xfId="0" applyFont="1" applyFill="1" applyBorder="1" applyAlignment="1">
      <alignment vertical="center" wrapText="1"/>
    </xf>
    <xf numFmtId="0" fontId="8" fillId="5" borderId="12" xfId="0" applyFont="1" applyFill="1" applyBorder="1" applyAlignment="1">
      <alignment vertical="center" wrapText="1"/>
    </xf>
    <xf numFmtId="0" fontId="8" fillId="5" borderId="13" xfId="0" applyFont="1" applyFill="1" applyBorder="1" applyAlignment="1">
      <alignmen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wrapText="1"/>
    </xf>
    <xf numFmtId="0" fontId="17" fillId="2" borderId="0" xfId="0" applyFont="1" applyFill="1" applyAlignment="1">
      <alignment horizontal="center" vertical="center"/>
    </xf>
    <xf numFmtId="0" fontId="18" fillId="2" borderId="0" xfId="0" applyFont="1" applyFill="1" applyAlignment="1">
      <alignment horizontal="center" vertical="center"/>
    </xf>
    <xf numFmtId="0" fontId="19" fillId="4" borderId="1"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9" fillId="4" borderId="3" xfId="0" applyFont="1" applyFill="1" applyBorder="1" applyAlignment="1">
      <alignment horizontal="center" vertical="center" wrapText="1"/>
    </xf>
    <xf numFmtId="0" fontId="6" fillId="0" borderId="0" xfId="0" applyFont="1"/>
    <xf numFmtId="0" fontId="7" fillId="6" borderId="4" xfId="0" applyFont="1" applyFill="1" applyBorder="1" applyAlignment="1">
      <alignment horizontal="center" vertical="center" wrapText="1"/>
    </xf>
    <xf numFmtId="0" fontId="7" fillId="6" borderId="5" xfId="0" applyFont="1" applyFill="1" applyBorder="1" applyAlignment="1">
      <alignment horizontal="center" vertical="center" wrapText="1"/>
    </xf>
  </cellXfs>
  <cellStyles count="1">
    <cellStyle name="Normal" xfId="0" builtinId="0"/>
  </cellStyles>
  <dxfs count="103">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alignment horizontal="center" vertical="center" textRotation="0" wrapText="1" indent="0" justifyLastLine="0" shrinkToFit="0" readingOrder="0"/>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color rgb="FF595959"/>
      </font>
      <fill>
        <patternFill patternType="solid">
          <bgColor rgb="FFE7E6E6"/>
        </patternFill>
      </fill>
    </dxf>
    <dxf>
      <font>
        <b/>
        <color rgb="FF9C5700"/>
      </font>
      <fill>
        <patternFill patternType="solid">
          <bgColor rgb="FFFCE4D6"/>
        </patternFill>
      </fill>
    </dxf>
    <dxf>
      <font>
        <b/>
        <color rgb="FF9C0006"/>
      </font>
      <fill>
        <patternFill patternType="solid">
          <bgColor rgb="FFFFC7CE"/>
        </patternFill>
      </fill>
    </dxf>
    <dxf>
      <font>
        <b/>
        <color rgb="FF006100"/>
      </font>
      <fill>
        <patternFill patternType="solid">
          <bgColor rgb="FFC6EFCE"/>
        </patternFill>
      </fill>
    </dxf>
    <dxf>
      <font>
        <color rgb="FF595959"/>
      </font>
      <fill>
        <patternFill patternType="solid">
          <bgColor rgb="FFE7E6E6"/>
        </patternFill>
      </fill>
    </dxf>
    <dxf>
      <font>
        <b/>
        <color rgb="FF9C5700"/>
      </font>
      <fill>
        <patternFill patternType="solid">
          <bgColor rgb="FFFCE4D6"/>
        </patternFill>
      </fill>
    </dxf>
    <dxf>
      <font>
        <b/>
        <color rgb="FF9C0006"/>
      </font>
      <fill>
        <patternFill patternType="solid">
          <bgColor rgb="FFFFC7CE"/>
        </patternFill>
      </fill>
    </dxf>
    <dxf>
      <font>
        <b/>
        <color rgb="FF006100"/>
      </font>
      <fill>
        <patternFill patternType="solid">
          <bgColor rgb="FFC6EFCE"/>
        </patternFill>
      </fill>
    </dxf>
    <dxf>
      <font>
        <color rgb="FF595959"/>
      </font>
      <fill>
        <patternFill patternType="solid">
          <bgColor rgb="FFE7E6E6"/>
        </patternFill>
      </fill>
    </dxf>
    <dxf>
      <font>
        <b/>
        <color rgb="FF9C5700"/>
      </font>
      <fill>
        <patternFill patternType="solid">
          <bgColor rgb="FFFCE4D6"/>
        </patternFill>
      </fill>
    </dxf>
    <dxf>
      <font>
        <b/>
        <color rgb="FF9C0006"/>
      </font>
      <fill>
        <patternFill patternType="solid">
          <bgColor rgb="FFFFC7CE"/>
        </patternFill>
      </fill>
    </dxf>
    <dxf>
      <font>
        <b/>
        <color rgb="FF006100"/>
      </font>
      <fill>
        <patternFill patternType="solid">
          <bgColor rgb="FFC6EFCE"/>
        </patternFill>
      </fill>
    </dxf>
    <dxf>
      <font>
        <color rgb="FF595959"/>
      </font>
      <fill>
        <patternFill patternType="solid">
          <bgColor rgb="FFE7E6E6"/>
        </patternFill>
      </fill>
    </dxf>
    <dxf>
      <font>
        <b/>
        <color rgb="FF9C5700"/>
      </font>
      <fill>
        <patternFill patternType="solid">
          <bgColor rgb="FFFCE4D6"/>
        </patternFill>
      </fill>
    </dxf>
    <dxf>
      <font>
        <b/>
        <color rgb="FF9C0006"/>
      </font>
      <fill>
        <patternFill patternType="solid">
          <bgColor rgb="FFFFC7CE"/>
        </patternFill>
      </fill>
    </dxf>
    <dxf>
      <font>
        <b/>
        <color rgb="FF006100"/>
      </font>
      <fill>
        <patternFill patternType="solid">
          <bgColor rgb="FFC6EFCE"/>
        </patternFill>
      </fill>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Test Status Counts</a:t>
            </a:r>
          </a:p>
        </c:rich>
      </c:tx>
      <c:overlay val="0"/>
    </c:title>
    <c:autoTitleDeleted val="0"/>
    <c:plotArea>
      <c:layout/>
      <c:barChart>
        <c:barDir val="col"/>
        <c:grouping val="clustered"/>
        <c:varyColors val="0"/>
        <c:ser>
          <c:idx val="0"/>
          <c:order val="0"/>
          <c:tx>
            <c:v>Count</c:v>
          </c:tx>
          <c:invertIfNegative val="1"/>
          <c:cat>
            <c:strRef>
              <c:f>Dashboard!$A$14:$A$17</c:f>
              <c:strCache>
                <c:ptCount val="4"/>
                <c:pt idx="0">
                  <c:v>Pass</c:v>
                </c:pt>
                <c:pt idx="1">
                  <c:v>Fail</c:v>
                </c:pt>
                <c:pt idx="2">
                  <c:v>Blocked</c:v>
                </c:pt>
                <c:pt idx="3">
                  <c:v>Not Run</c:v>
                </c:pt>
              </c:strCache>
            </c:strRef>
          </c:cat>
          <c:val>
            <c:numRef>
              <c:f>Dashboard!$B$14:$B$17</c:f>
              <c:numCache>
                <c:formatCode>General</c:formatCode>
                <c:ptCount val="4"/>
                <c:pt idx="0">
                  <c:v>0</c:v>
                </c:pt>
                <c:pt idx="1">
                  <c:v>0</c:v>
                </c:pt>
                <c:pt idx="2">
                  <c:v>0</c:v>
                </c:pt>
                <c:pt idx="3">
                  <c:v>229</c:v>
                </c:pt>
              </c:numCache>
            </c:numRef>
          </c:val>
          <c:extLst>
            <c:ext xmlns:c16="http://schemas.microsoft.com/office/drawing/2014/chart" uri="{C3380CC4-5D6E-409C-BE32-E72D297353CC}">
              <c16:uniqueId val="{00000000-8D20-B048-A19C-8B2B2CDB968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12</xdr:row>
      <xdr:rowOff>0</xdr:rowOff>
    </xdr:from>
    <xdr:to>
      <xdr:col>10</xdr:col>
      <xdr:colOff>0</xdr:colOff>
      <xdr:row>20</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issionEvidenceTable" displayName="MissionEvidenceTable" ref="A5:P10" totalsRowShown="0" headerRowDxfId="5" dataDxfId="102">
  <autoFilter ref="A5:P10" xr:uid="{00000000-0009-0000-0100-000001000000}"/>
  <tableColumns count="16">
    <tableColumn id="1" xr3:uid="{00000000-0010-0000-0000-000001000000}" name="Mission ID" dataDxfId="101"/>
    <tableColumn id="2" xr3:uid="{00000000-0010-0000-0000-000002000000}" name="Mission Title" dataDxfId="100"/>
    <tableColumn id="3" xr3:uid="{00000000-0010-0000-0000-000003000000}" name="Crew Query" dataDxfId="99"/>
    <tableColumn id="4" xr3:uid="{00000000-0010-0000-0000-000004000000}" name="K1 ID (idealRank 1)" dataDxfId="98"/>
    <tableColumn id="5" xr3:uid="{00000000-0010-0000-0000-000005000000}" name="K1 Text" dataDxfId="97"/>
    <tableColumn id="6" xr3:uid="{00000000-0010-0000-0000-000006000000}" name="K2 ID (idealRank 2)" dataDxfId="96"/>
    <tableColumn id="7" xr3:uid="{00000000-0010-0000-0000-000007000000}" name="K2 Text" dataDxfId="95"/>
    <tableColumn id="8" xr3:uid="{00000000-0010-0000-0000-000008000000}" name="D1 ID (idealRank 0)" dataDxfId="94"/>
    <tableColumn id="9" xr3:uid="{00000000-0010-0000-0000-000009000000}" name="D1 Text" dataDxfId="93"/>
    <tableColumn id="10" xr3:uid="{00000000-0010-0000-0000-00000A000000}" name="D2 ID (idealRank 0)" dataDxfId="92"/>
    <tableColumn id="11" xr3:uid="{00000000-0010-0000-0000-00000B000000}" name="D2 Text" dataDxfId="91"/>
    <tableColumn id="12" xr3:uid="{00000000-0010-0000-0000-00000C000000}" name="Grounded Variants" dataDxfId="90"/>
    <tableColumn id="13" xr3:uid="{00000000-0010-0000-0000-00000D000000}" name="Partial Variants" dataDxfId="89"/>
    <tableColumn id="14" xr3:uid="{00000000-0010-0000-0000-00000E000000}" name="Risky Variants" dataDxfId="88"/>
    <tableColumn id="15" xr3:uid="{00000000-0010-0000-0000-00000F000000}" name="Success / Delayed / Failure" dataDxfId="87"/>
    <tableColumn id="16" xr3:uid="{00000000-0010-0000-0000-000010000000}" name="Notes" dataDxfId="8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ankingStressTable" displayName="RankingStressTable" ref="A5:AB125" totalsRowShown="0" dataDxfId="85">
  <autoFilter ref="A5:AB125" xr:uid="{00000000-0009-0000-0100-000002000000}"/>
  <tableColumns count="28">
    <tableColumn id="1" xr3:uid="{00000000-0010-0000-0100-000001000000}" name="Test ID" dataDxfId="84"/>
    <tableColumn id="2" xr3:uid="{00000000-0010-0000-0100-000002000000}" name="Mission ID" dataDxfId="83"/>
    <tableColumn id="3" xr3:uid="{00000000-0010-0000-0100-000003000000}" name="Mission Title" dataDxfId="82"/>
    <tableColumn id="4" xr3:uid="{00000000-0010-0000-0100-000004000000}" name="Crew Query" dataDxfId="81"/>
    <tableColumn id="5" xr3:uid="{00000000-0010-0000-0100-000005000000}" name="Rank 1 Role" dataDxfId="80"/>
    <tableColumn id="6" xr3:uid="{00000000-0010-0000-0100-000006000000}" name="Rank 1 Evidence" dataDxfId="79"/>
    <tableColumn id="7" xr3:uid="{00000000-0010-0000-0100-000007000000}" name="Rank 2 Role" dataDxfId="78"/>
    <tableColumn id="8" xr3:uid="{00000000-0010-0000-0100-000008000000}" name="Rank 2 Evidence" dataDxfId="77"/>
    <tableColumn id="9" xr3:uid="{00000000-0010-0000-0100-000009000000}" name="Rank 3 Role" dataDxfId="76"/>
    <tableColumn id="10" xr3:uid="{00000000-0010-0000-0100-00000A000000}" name="Rank 3 Evidence" dataDxfId="75"/>
    <tableColumn id="11" xr3:uid="{00000000-0010-0000-0100-00000B000000}" name="Rank 4 Role" dataDxfId="74"/>
    <tableColumn id="12" xr3:uid="{00000000-0010-0000-0100-00000C000000}" name="Rank 4 Evidence" dataDxfId="73"/>
    <tableColumn id="13" xr3:uid="{00000000-0010-0000-0100-00000D000000}" name="K1 Rank" dataDxfId="72"/>
    <tableColumn id="14" xr3:uid="{00000000-0010-0000-0100-00000E000000}" name="K2 Rank" dataDxfId="71"/>
    <tableColumn id="15" xr3:uid="{00000000-0010-0000-0100-00000F000000}" name="Expected Answer Type" dataDxfId="70"/>
    <tableColumn id="16" xr3:uid="{00000000-0010-0000-0100-000010000000}" name="Expected Retrieval %" dataDxfId="69"/>
    <tableColumn id="17" xr3:uid="{00000000-0010-0000-0100-000011000000}" name="Expected Ranking %" dataDxfId="68"/>
    <tableColumn id="18" xr3:uid="{00000000-0010-0000-0100-000012000000}" name="Expected Grounding %" dataDxfId="67"/>
    <tableColumn id="19" xr3:uid="{00000000-0010-0000-0100-000013000000}" name="Expected Citation %" dataDxfId="66"/>
    <tableColumn id="20" xr3:uid="{00000000-0010-0000-0100-000014000000}" name="Expected Hallucination Risk %" dataDxfId="65"/>
    <tableColumn id="21" xr3:uid="{00000000-0010-0000-0100-000015000000}" name="Expected Trust %" dataDxfId="64"/>
    <tableColumn id="22" xr3:uid="{00000000-0010-0000-0100-000016000000}" name="Correct Validation Choice" dataDxfId="63"/>
    <tableColumn id="23" xr3:uid="{00000000-0010-0000-0100-000017000000}" name="Expected Validated Outcome" dataDxfId="62"/>
    <tableColumn id="24" xr3:uid="{00000000-0010-0000-0100-000018000000}" name="Expected Skipped Outcome" dataDxfId="61"/>
    <tableColumn id="25" xr3:uid="{00000000-0010-0000-0100-000019000000}" name="Expected Result" dataDxfId="60"/>
    <tableColumn id="26" xr3:uid="{00000000-0010-0000-0100-00001A000000}" name="Real Result" dataDxfId="0"/>
    <tableColumn id="27" xr3:uid="{00000000-0010-0000-0100-00001B000000}" name="Comparison Status" dataDxfId="59"/>
    <tableColumn id="28" xr3:uid="{00000000-0010-0000-0100-00001C000000}" name="Notes" dataDxfId="5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ValidationBranchTable" displayName="ValidationBranchTable" ref="A5:N65" totalsRowShown="0" dataDxfId="57">
  <autoFilter ref="A5:N65" xr:uid="{00000000-0009-0000-0100-000003000000}"/>
  <tableColumns count="14">
    <tableColumn id="1" xr3:uid="{00000000-0010-0000-0200-000001000000}" name="Test ID" dataDxfId="56"/>
    <tableColumn id="2" xr3:uid="{00000000-0010-0000-0200-000002000000}" name="Mission ID" dataDxfId="55"/>
    <tableColumn id="3" xr3:uid="{00000000-0010-0000-0200-000003000000}" name="Crew Query" dataDxfId="54"/>
    <tableColumn id="4" xr3:uid="{00000000-0010-0000-0200-000004000000}" name="Path" dataDxfId="53"/>
    <tableColumn id="5" xr3:uid="{00000000-0010-0000-0200-000005000000}" name="Rank 1" dataDxfId="52"/>
    <tableColumn id="6" xr3:uid="{00000000-0010-0000-0200-000006000000}" name="Rank 2" dataDxfId="51"/>
    <tableColumn id="7" xr3:uid="{00000000-0010-0000-0200-000007000000}" name="Rank 3" dataDxfId="50"/>
    <tableColumn id="8" xr3:uid="{00000000-0010-0000-0200-000008000000}" name="Rank 4" dataDxfId="49"/>
    <tableColumn id="9" xr3:uid="{00000000-0010-0000-0200-000009000000}" name="Actual Answer Type" dataDxfId="48"/>
    <tableColumn id="10" xr3:uid="{00000000-0010-0000-0200-00000A000000}" name="Player Choice" dataDxfId="47"/>
    <tableColumn id="11" xr3:uid="{00000000-0010-0000-0200-00000B000000}" name="Expected Feedback / Outcome" dataDxfId="46"/>
    <tableColumn id="12" xr3:uid="{00000000-0010-0000-0200-00000C000000}" name="Expected Result" dataDxfId="45"/>
    <tableColumn id="13" xr3:uid="{00000000-0010-0000-0200-00000D000000}" name="Real Result" dataDxfId="44"/>
    <tableColumn id="14" xr3:uid="{00000000-0010-0000-0200-00000E000000}" name="Comparison Status" dataDxfId="4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videnceMutationTable" displayName="EvidenceMutationTable" ref="A5:M40" totalsRowShown="0" headerRowDxfId="4" dataDxfId="42">
  <autoFilter ref="A5:M40" xr:uid="{00000000-0009-0000-0100-000004000000}"/>
  <tableColumns count="13">
    <tableColumn id="1" xr3:uid="{00000000-0010-0000-0300-000001000000}" name="Test ID" dataDxfId="41"/>
    <tableColumn id="2" xr3:uid="{00000000-0010-0000-0300-000002000000}" name="Mission ID" dataDxfId="40"/>
    <tableColumn id="3" xr3:uid="{00000000-0010-0000-0300-000003000000}" name="Crew Query" dataDxfId="39"/>
    <tableColumn id="4" xr3:uid="{00000000-0010-0000-0300-000004000000}" name="Mutation" dataDxfId="38"/>
    <tableColumn id="5" xr3:uid="{00000000-0010-0000-0300-000005000000}" name="Inspector Edit" dataDxfId="37"/>
    <tableColumn id="6" xr3:uid="{00000000-0010-0000-0300-000006000000}" name="Rank 1" dataDxfId="36"/>
    <tableColumn id="7" xr3:uid="{00000000-0010-0000-0300-000007000000}" name="Rank 2" dataDxfId="35"/>
    <tableColumn id="8" xr3:uid="{00000000-0010-0000-0300-000008000000}" name="Rank 3" dataDxfId="34"/>
    <tableColumn id="9" xr3:uid="{00000000-0010-0000-0300-000009000000}" name="Rank 4" dataDxfId="33"/>
    <tableColumn id="10" xr3:uid="{00000000-0010-0000-0300-00000A000000}" name="Expected Behavior" dataDxfId="32"/>
    <tableColumn id="11" xr3:uid="{00000000-0010-0000-0300-00000B000000}" name="Expected Result" dataDxfId="3"/>
    <tableColumn id="12" xr3:uid="{00000000-0010-0000-0300-00000C000000}" name="Real Result" dataDxfId="1"/>
    <tableColumn id="13" xr3:uid="{00000000-0010-0000-0300-00000D000000}" name="Comparison Status" dataDxfId="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essionFlowTable" displayName="SessionFlowTable" ref="A5:I27" totalsRowShown="0" dataDxfId="31">
  <autoFilter ref="A5:I27" xr:uid="{00000000-0009-0000-0100-000005000000}"/>
  <tableColumns count="9">
    <tableColumn id="1" xr3:uid="{00000000-0010-0000-0400-000001000000}" name="Test ID" dataDxfId="30"/>
    <tableColumn id="2" xr3:uid="{00000000-0010-0000-0400-000002000000}" name="Area" dataDxfId="29"/>
    <tableColumn id="3" xr3:uid="{00000000-0010-0000-0400-000003000000}" name="Precondition" dataDxfId="28"/>
    <tableColumn id="4" xr3:uid="{00000000-0010-0000-0400-000004000000}" name="Action" dataDxfId="27"/>
    <tableColumn id="5" xr3:uid="{00000000-0010-0000-0400-000005000000}" name="Expected Result" dataDxfId="26"/>
    <tableColumn id="6" xr3:uid="{00000000-0010-0000-0400-000006000000}" name="Real Result" dataDxfId="25"/>
    <tableColumn id="7" xr3:uid="{00000000-0010-0000-0400-000007000000}" name="Comparison Status" dataDxfId="24"/>
    <tableColumn id="8" xr3:uid="{00000000-0010-0000-0400-000008000000}" name="Severity" dataDxfId="23"/>
    <tableColumn id="9" xr3:uid="{00000000-0010-0000-0400-000009000000}" name="Notes" dataDxfId="2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
  <sheetViews>
    <sheetView showGridLines="0" workbookViewId="0">
      <selection activeCell="F31" sqref="F31"/>
    </sheetView>
  </sheetViews>
  <sheetFormatPr baseColWidth="10" defaultColWidth="8.83203125" defaultRowHeight="20"/>
  <cols>
    <col min="1" max="1" width="24" style="23" customWidth="1"/>
    <col min="2" max="2" width="43.1640625" style="23" customWidth="1"/>
    <col min="3" max="3" width="4" style="23" customWidth="1"/>
    <col min="4" max="4" width="41.5" style="37" customWidth="1"/>
    <col min="5" max="5" width="44" style="37" customWidth="1"/>
    <col min="6" max="6" width="31.83203125" style="37" customWidth="1"/>
    <col min="7" max="7" width="49.5" style="37" customWidth="1"/>
    <col min="8" max="8" width="68.83203125" style="37" customWidth="1"/>
    <col min="9" max="9" width="1" style="23" hidden="1" customWidth="1"/>
    <col min="10" max="10" width="20" style="23" hidden="1" customWidth="1"/>
    <col min="11" max="16384" width="8.83203125" style="23"/>
  </cols>
  <sheetData>
    <row r="1" spans="1:10" ht="28" customHeight="1">
      <c r="A1" s="38" t="s">
        <v>0</v>
      </c>
      <c r="B1" s="38"/>
      <c r="C1" s="38"/>
      <c r="D1" s="38"/>
      <c r="E1" s="38"/>
      <c r="F1" s="38"/>
      <c r="G1" s="38"/>
      <c r="H1" s="38"/>
      <c r="I1" s="38"/>
      <c r="J1" s="38"/>
    </row>
    <row r="2" spans="1:10" ht="28" customHeight="1">
      <c r="A2" s="38"/>
      <c r="B2" s="38"/>
      <c r="C2" s="38"/>
      <c r="D2" s="38"/>
      <c r="E2" s="38"/>
      <c r="F2" s="38"/>
      <c r="G2" s="38"/>
      <c r="H2" s="38"/>
      <c r="I2" s="38"/>
      <c r="J2" s="38"/>
    </row>
    <row r="3" spans="1:10" ht="34" customHeight="1">
      <c r="A3" s="39" t="s">
        <v>1</v>
      </c>
      <c r="B3" s="39"/>
      <c r="C3" s="39"/>
      <c r="D3" s="39"/>
      <c r="E3" s="39"/>
      <c r="F3" s="39"/>
      <c r="G3" s="39"/>
      <c r="H3" s="39"/>
      <c r="I3" s="39"/>
      <c r="J3" s="39"/>
    </row>
    <row r="4" spans="1:10">
      <c r="A4" s="21"/>
      <c r="B4" s="21"/>
      <c r="C4" s="21"/>
      <c r="D4" s="34"/>
      <c r="E4" s="34"/>
      <c r="F4" s="34"/>
      <c r="G4" s="34"/>
      <c r="H4" s="34"/>
      <c r="I4" s="21"/>
      <c r="J4" s="21"/>
    </row>
    <row r="5" spans="1:10" ht="42" customHeight="1">
      <c r="A5" s="18" t="s">
        <v>2</v>
      </c>
      <c r="B5" s="20" t="s">
        <v>3</v>
      </c>
      <c r="C5" s="21"/>
      <c r="D5" s="40" t="s">
        <v>4</v>
      </c>
      <c r="E5" s="40"/>
      <c r="F5" s="40"/>
      <c r="G5" s="40"/>
      <c r="H5" s="40"/>
      <c r="I5" s="21"/>
      <c r="J5" s="21"/>
    </row>
    <row r="6" spans="1:10" ht="42" customHeight="1">
      <c r="A6" s="22" t="s">
        <v>5</v>
      </c>
      <c r="B6" s="5">
        <f>COUNTA('Ranking Stress Tests'!$A$6:$A$125)+COUNTA('Validation Branch Tests'!$A$6:$A$65)+COUNTA('Evidence Mutation Tests'!$A$6:$A$40)+COUNTA('Session Flow Tests'!$A$6:$A$27)</f>
        <v>237</v>
      </c>
      <c r="C6" s="21"/>
      <c r="D6" s="26" t="s">
        <v>6</v>
      </c>
      <c r="E6" s="27" t="s">
        <v>7</v>
      </c>
      <c r="F6" s="27" t="s">
        <v>8</v>
      </c>
      <c r="G6" s="27" t="s">
        <v>9</v>
      </c>
      <c r="H6" s="28" t="s">
        <v>10</v>
      </c>
      <c r="I6" s="21"/>
      <c r="J6" s="21"/>
    </row>
    <row r="7" spans="1:10" ht="48" customHeight="1">
      <c r="A7" s="22" t="s">
        <v>11</v>
      </c>
      <c r="B7" s="5">
        <f>COUNTIF('Ranking Stress Tests'!$AA$6:$AA$125,"Pass")+COUNTIF('Validation Branch Tests'!$N$6:$N$65,"Pass")+COUNTIF('Evidence Mutation Tests'!$M$6:$M$40,"Pass")+COUNTIF('Session Flow Tests'!$G$6:$G$27,"Pass")</f>
        <v>0</v>
      </c>
      <c r="C7" s="21"/>
      <c r="D7" s="35" t="s">
        <v>12</v>
      </c>
      <c r="E7" s="35" t="s">
        <v>13</v>
      </c>
      <c r="F7" s="35">
        <v>120</v>
      </c>
      <c r="G7" s="35" t="s">
        <v>14</v>
      </c>
      <c r="H7" s="35" t="s">
        <v>15</v>
      </c>
      <c r="I7" s="21"/>
      <c r="J7" s="21"/>
    </row>
    <row r="8" spans="1:10" ht="48" customHeight="1">
      <c r="A8" s="22" t="s">
        <v>16</v>
      </c>
      <c r="B8" s="5">
        <f>COUNTIF('Ranking Stress Tests'!$AA$6:$AA$125,"Fail")+COUNTIF('Validation Branch Tests'!$N$6:$N$65,"Fail")+COUNTIF('Evidence Mutation Tests'!$M$6:$M$40,"Fail")+COUNTIF('Session Flow Tests'!$G$6:$G$27,"Fail")</f>
        <v>0</v>
      </c>
      <c r="C8" s="21"/>
      <c r="D8" s="36" t="s">
        <v>17</v>
      </c>
      <c r="E8" s="36" t="s">
        <v>18</v>
      </c>
      <c r="F8" s="36">
        <v>60</v>
      </c>
      <c r="G8" s="36" t="s">
        <v>14</v>
      </c>
      <c r="H8" s="36" t="s">
        <v>19</v>
      </c>
      <c r="I8" s="21"/>
      <c r="J8" s="21"/>
    </row>
    <row r="9" spans="1:10" ht="48" customHeight="1">
      <c r="A9" s="22" t="s">
        <v>20</v>
      </c>
      <c r="B9" s="5">
        <f>COUNTIF('Ranking Stress Tests'!$AA$6:$AA$125,"Blocked")+COUNTIF('Validation Branch Tests'!$N$6:$N$65,"Blocked")+COUNTIF('Evidence Mutation Tests'!$M$6:$M$40,"Blocked")+COUNTIF('Session Flow Tests'!$G$6:$G$27,"Blocked")</f>
        <v>0</v>
      </c>
      <c r="C9" s="21"/>
      <c r="D9" s="36" t="s">
        <v>21</v>
      </c>
      <c r="E9" s="36" t="s">
        <v>22</v>
      </c>
      <c r="F9" s="36">
        <v>35</v>
      </c>
      <c r="G9" s="36" t="s">
        <v>14</v>
      </c>
      <c r="H9" s="36" t="s">
        <v>19</v>
      </c>
      <c r="I9" s="21"/>
      <c r="J9" s="21"/>
    </row>
    <row r="10" spans="1:10" ht="48" customHeight="1">
      <c r="A10" s="22" t="s">
        <v>23</v>
      </c>
      <c r="B10" s="5">
        <f>COUNTIF('Ranking Stress Tests'!$AA$6:$AA$125,"Not Run")+COUNTIF('Validation Branch Tests'!$N$6:$N$65,"Not Run")+COUNTIF('Evidence Mutation Tests'!$M$6:$M$40,"Not Run")+COUNTIF('Session Flow Tests'!$G$6:$G$27,"Not Run")</f>
        <v>229</v>
      </c>
      <c r="C10" s="21"/>
      <c r="D10" s="36" t="s">
        <v>24</v>
      </c>
      <c r="E10" s="36" t="s">
        <v>25</v>
      </c>
      <c r="F10" s="36">
        <v>22</v>
      </c>
      <c r="G10" s="36" t="s">
        <v>14</v>
      </c>
      <c r="H10" s="36" t="s">
        <v>15</v>
      </c>
      <c r="I10" s="21"/>
      <c r="J10" s="21"/>
    </row>
    <row r="11" spans="1:10">
      <c r="A11" s="21"/>
      <c r="B11" s="21"/>
      <c r="C11" s="21"/>
      <c r="D11" s="34"/>
      <c r="E11" s="34"/>
      <c r="F11" s="34"/>
      <c r="G11" s="34"/>
      <c r="H11" s="34"/>
      <c r="I11" s="21"/>
      <c r="J11" s="21"/>
    </row>
    <row r="12" spans="1:10">
      <c r="A12" s="21"/>
      <c r="B12" s="21"/>
      <c r="C12" s="21"/>
      <c r="D12" s="34"/>
      <c r="E12" s="34"/>
      <c r="F12" s="34"/>
      <c r="G12" s="34"/>
      <c r="H12" s="34"/>
      <c r="I12" s="21"/>
      <c r="J12" s="21"/>
    </row>
    <row r="13" spans="1:10" ht="42" customHeight="1">
      <c r="A13" s="18" t="s">
        <v>26</v>
      </c>
      <c r="B13" s="20" t="s">
        <v>27</v>
      </c>
      <c r="C13" s="21"/>
      <c r="D13" s="34"/>
      <c r="E13" s="34"/>
      <c r="F13" s="34"/>
      <c r="G13" s="34"/>
      <c r="H13" s="34"/>
      <c r="I13" s="21"/>
      <c r="J13" s="21"/>
    </row>
    <row r="14" spans="1:10">
      <c r="A14" s="24" t="s">
        <v>28</v>
      </c>
      <c r="B14" s="24">
        <f>B7</f>
        <v>0</v>
      </c>
      <c r="C14" s="21"/>
      <c r="D14" s="34"/>
      <c r="E14" s="34"/>
      <c r="F14" s="34"/>
      <c r="G14" s="34"/>
      <c r="H14" s="34"/>
      <c r="I14" s="21"/>
      <c r="J14" s="21"/>
    </row>
    <row r="15" spans="1:10">
      <c r="A15" s="24" t="s">
        <v>29</v>
      </c>
      <c r="B15" s="24">
        <f>B8</f>
        <v>0</v>
      </c>
      <c r="C15" s="21"/>
      <c r="D15" s="34"/>
      <c r="E15" s="34"/>
      <c r="F15" s="34"/>
      <c r="G15" s="34"/>
      <c r="H15" s="34"/>
      <c r="I15" s="21"/>
      <c r="J15" s="21"/>
    </row>
    <row r="16" spans="1:10">
      <c r="A16" s="24" t="s">
        <v>20</v>
      </c>
      <c r="B16" s="24">
        <f>B9</f>
        <v>0</v>
      </c>
      <c r="C16" s="21"/>
      <c r="D16" s="34"/>
      <c r="E16" s="34"/>
      <c r="F16" s="34"/>
      <c r="G16" s="34"/>
      <c r="H16" s="34"/>
      <c r="I16" s="21"/>
      <c r="J16" s="21"/>
    </row>
    <row r="17" spans="1:10">
      <c r="A17" s="24" t="s">
        <v>23</v>
      </c>
      <c r="B17" s="24">
        <f>B10</f>
        <v>229</v>
      </c>
      <c r="C17" s="21"/>
      <c r="D17" s="34"/>
      <c r="E17" s="34"/>
      <c r="F17" s="34"/>
      <c r="G17" s="34"/>
      <c r="H17" s="34"/>
      <c r="I17" s="21"/>
      <c r="J17" s="21"/>
    </row>
    <row r="18" spans="1:10">
      <c r="A18" s="24" t="s">
        <v>30</v>
      </c>
      <c r="B18" s="25">
        <f>IF(B6=0,0,(B7+B8+B9)/B6)</f>
        <v>0</v>
      </c>
      <c r="C18" s="21"/>
      <c r="D18" s="34"/>
      <c r="E18" s="34"/>
      <c r="F18" s="34"/>
      <c r="G18" s="34"/>
      <c r="H18" s="34"/>
      <c r="I18" s="21"/>
      <c r="J18" s="21"/>
    </row>
    <row r="19" spans="1:10">
      <c r="A19" s="21"/>
      <c r="B19" s="21"/>
      <c r="C19" s="21"/>
      <c r="D19" s="34"/>
      <c r="E19" s="34"/>
      <c r="F19" s="34"/>
      <c r="G19" s="34"/>
      <c r="H19" s="34"/>
      <c r="I19" s="21"/>
      <c r="J19" s="21"/>
    </row>
    <row r="20" spans="1:10">
      <c r="A20" s="21"/>
      <c r="B20" s="21"/>
      <c r="C20" s="21"/>
      <c r="D20" s="34"/>
      <c r="E20" s="34"/>
      <c r="F20" s="34"/>
      <c r="G20" s="34"/>
      <c r="H20" s="34"/>
      <c r="I20" s="21"/>
      <c r="J20" s="21"/>
    </row>
    <row r="21" spans="1:10" ht="21">
      <c r="A21" s="41" t="s">
        <v>31</v>
      </c>
      <c r="B21" s="41"/>
      <c r="C21" s="41"/>
      <c r="D21" s="41"/>
      <c r="E21" s="41"/>
      <c r="F21" s="41"/>
      <c r="G21" s="41"/>
      <c r="H21" s="41"/>
      <c r="I21" s="41"/>
      <c r="J21" s="41"/>
    </row>
    <row r="22" spans="1:10" ht="14" customHeight="1">
      <c r="A22" s="42" t="s">
        <v>32</v>
      </c>
      <c r="B22" s="43"/>
      <c r="C22" s="43"/>
      <c r="D22" s="43"/>
      <c r="E22" s="43"/>
      <c r="F22" s="43"/>
      <c r="G22" s="43"/>
      <c r="H22" s="43"/>
      <c r="I22" s="43"/>
      <c r="J22" s="44"/>
    </row>
    <row r="23" spans="1:10">
      <c r="A23" s="45"/>
      <c r="B23" s="46"/>
      <c r="C23" s="46"/>
      <c r="D23" s="46"/>
      <c r="E23" s="46"/>
      <c r="F23" s="46"/>
      <c r="G23" s="46"/>
      <c r="H23" s="46"/>
      <c r="I23" s="46"/>
      <c r="J23" s="47"/>
    </row>
    <row r="24" spans="1:10">
      <c r="A24" s="45"/>
      <c r="B24" s="46"/>
      <c r="C24" s="46"/>
      <c r="D24" s="46"/>
      <c r="E24" s="46"/>
      <c r="F24" s="46"/>
      <c r="G24" s="46"/>
      <c r="H24" s="46"/>
      <c r="I24" s="46"/>
      <c r="J24" s="47"/>
    </row>
    <row r="25" spans="1:10">
      <c r="A25" s="48"/>
      <c r="B25" s="49"/>
      <c r="C25" s="49"/>
      <c r="D25" s="49"/>
      <c r="E25" s="49"/>
      <c r="F25" s="49"/>
      <c r="G25" s="49"/>
      <c r="H25" s="49"/>
      <c r="I25" s="49"/>
      <c r="J25" s="50"/>
    </row>
  </sheetData>
  <mergeCells count="5">
    <mergeCell ref="A1:J2"/>
    <mergeCell ref="A3:J3"/>
    <mergeCell ref="D5:H5"/>
    <mergeCell ref="A21:J21"/>
    <mergeCell ref="A22:J2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
  <sheetViews>
    <sheetView showGridLines="0" workbookViewId="0">
      <selection activeCell="B18" sqref="B18"/>
    </sheetView>
  </sheetViews>
  <sheetFormatPr baseColWidth="10" defaultColWidth="8.83203125" defaultRowHeight="14"/>
  <cols>
    <col min="1" max="1" width="22.33203125" style="32" customWidth="1"/>
    <col min="2" max="2" width="82" style="32" customWidth="1"/>
    <col min="3" max="3" width="130.6640625" style="32" customWidth="1"/>
    <col min="4" max="8" width="16" customWidth="1"/>
  </cols>
  <sheetData>
    <row r="1" spans="1:8" ht="28" customHeight="1">
      <c r="A1" s="65" t="s">
        <v>33</v>
      </c>
      <c r="B1" s="65"/>
      <c r="C1" s="65"/>
      <c r="D1" s="65"/>
      <c r="E1" s="65"/>
      <c r="F1" s="65"/>
      <c r="G1" s="65"/>
      <c r="H1" s="65"/>
    </row>
    <row r="2" spans="1:8" ht="28" customHeight="1">
      <c r="A2" s="65"/>
      <c r="B2" s="65"/>
      <c r="C2" s="65"/>
      <c r="D2" s="65"/>
      <c r="E2" s="65"/>
      <c r="F2" s="65"/>
      <c r="G2" s="65"/>
      <c r="H2" s="65"/>
    </row>
    <row r="3" spans="1:8" ht="34" customHeight="1">
      <c r="A3" s="64" t="s">
        <v>34</v>
      </c>
      <c r="B3" s="64"/>
      <c r="C3" s="64"/>
      <c r="D3" s="64"/>
      <c r="E3" s="64"/>
      <c r="F3" s="64"/>
      <c r="G3" s="64"/>
      <c r="H3" s="64"/>
    </row>
    <row r="4" spans="1:8">
      <c r="A4" s="30"/>
      <c r="B4" s="30"/>
      <c r="C4" s="30"/>
      <c r="D4" s="4"/>
      <c r="E4" s="4"/>
      <c r="F4" s="4"/>
      <c r="G4" s="4"/>
      <c r="H4" s="4"/>
    </row>
    <row r="5" spans="1:8" ht="21">
      <c r="A5" s="52" t="s">
        <v>35</v>
      </c>
      <c r="B5" s="52"/>
      <c r="C5" s="52"/>
      <c r="D5" s="52"/>
      <c r="E5" s="52"/>
      <c r="F5" s="52"/>
      <c r="G5" s="52"/>
      <c r="H5" s="52"/>
    </row>
    <row r="6" spans="1:8" ht="42" customHeight="1">
      <c r="A6" s="18" t="s">
        <v>36</v>
      </c>
      <c r="B6" s="19" t="s">
        <v>37</v>
      </c>
      <c r="C6" s="20" t="s">
        <v>38</v>
      </c>
      <c r="D6" s="21"/>
      <c r="E6" s="21"/>
      <c r="F6" s="21"/>
      <c r="G6" s="21"/>
      <c r="H6" s="21"/>
    </row>
    <row r="7" spans="1:8" ht="30" customHeight="1">
      <c r="A7" s="29" t="s">
        <v>39</v>
      </c>
      <c r="B7" s="29" t="s">
        <v>40</v>
      </c>
      <c r="C7" s="29" t="s">
        <v>41</v>
      </c>
      <c r="D7" s="21"/>
      <c r="E7" s="21"/>
      <c r="F7" s="21"/>
      <c r="G7" s="21"/>
      <c r="H7" s="21"/>
    </row>
    <row r="8" spans="1:8" ht="54" customHeight="1">
      <c r="A8" s="31" t="s">
        <v>42</v>
      </c>
      <c r="B8" s="31" t="s">
        <v>43</v>
      </c>
      <c r="C8" s="31" t="s">
        <v>44</v>
      </c>
      <c r="D8" s="21"/>
      <c r="E8" s="21"/>
      <c r="F8" s="21"/>
      <c r="G8" s="21"/>
      <c r="H8" s="21"/>
    </row>
    <row r="9" spans="1:8" ht="30" customHeight="1">
      <c r="A9" s="31" t="s">
        <v>45</v>
      </c>
      <c r="B9" s="31" t="s">
        <v>46</v>
      </c>
      <c r="C9" s="31" t="s">
        <v>47</v>
      </c>
      <c r="D9" s="21"/>
      <c r="E9" s="21"/>
      <c r="F9" s="21"/>
      <c r="G9" s="21"/>
      <c r="H9" s="21"/>
    </row>
    <row r="10" spans="1:8" ht="30" customHeight="1">
      <c r="A10" s="31" t="s">
        <v>48</v>
      </c>
      <c r="B10" s="31" t="s">
        <v>49</v>
      </c>
      <c r="C10" s="31" t="s">
        <v>50</v>
      </c>
      <c r="D10" s="21"/>
      <c r="E10" s="21"/>
      <c r="F10" s="21"/>
      <c r="G10" s="21"/>
      <c r="H10" s="21"/>
    </row>
    <row r="11" spans="1:8" ht="30" customHeight="1">
      <c r="A11" s="31" t="s">
        <v>51</v>
      </c>
      <c r="B11" s="31" t="s">
        <v>52</v>
      </c>
      <c r="C11" s="31" t="s">
        <v>53</v>
      </c>
      <c r="D11" s="21"/>
      <c r="E11" s="21"/>
      <c r="F11" s="21"/>
      <c r="G11" s="21"/>
      <c r="H11" s="21"/>
    </row>
    <row r="12" spans="1:8" ht="30" customHeight="1">
      <c r="A12" s="31" t="s">
        <v>54</v>
      </c>
      <c r="B12" s="31" t="s">
        <v>55</v>
      </c>
      <c r="C12" s="31" t="s">
        <v>56</v>
      </c>
      <c r="D12" s="21"/>
      <c r="E12" s="21"/>
      <c r="F12" s="21"/>
      <c r="G12" s="21"/>
      <c r="H12" s="21"/>
    </row>
    <row r="13" spans="1:8">
      <c r="A13" s="30"/>
      <c r="B13" s="30"/>
      <c r="C13" s="30"/>
      <c r="D13" s="4"/>
      <c r="E13" s="4"/>
      <c r="F13" s="4"/>
      <c r="G13" s="4"/>
      <c r="H13" s="4"/>
    </row>
    <row r="14" spans="1:8" ht="16">
      <c r="A14" s="53" t="s">
        <v>57</v>
      </c>
      <c r="B14" s="53"/>
      <c r="C14" s="53"/>
      <c r="D14" s="53"/>
      <c r="E14" s="53"/>
      <c r="F14" s="53"/>
      <c r="G14" s="53"/>
      <c r="H14" s="53"/>
    </row>
    <row r="15" spans="1:8">
      <c r="A15" s="30"/>
      <c r="B15" s="30"/>
      <c r="C15" s="30"/>
      <c r="D15" s="4"/>
      <c r="E15" s="4"/>
      <c r="F15" s="4"/>
      <c r="G15" s="4"/>
      <c r="H15" s="4"/>
    </row>
    <row r="16" spans="1:8" ht="42" customHeight="1">
      <c r="A16" s="18" t="s">
        <v>58</v>
      </c>
      <c r="B16" s="20" t="s">
        <v>59</v>
      </c>
      <c r="C16" s="33"/>
      <c r="D16" s="54" t="s">
        <v>60</v>
      </c>
      <c r="E16" s="55"/>
      <c r="F16" s="55"/>
      <c r="G16" s="55"/>
      <c r="H16" s="56"/>
    </row>
    <row r="17" spans="1:8" ht="46" customHeight="1">
      <c r="A17" s="29" t="s">
        <v>61</v>
      </c>
      <c r="B17" s="29" t="s">
        <v>62</v>
      </c>
      <c r="C17" s="33"/>
      <c r="D17" s="57"/>
      <c r="E17" s="58"/>
      <c r="F17" s="58"/>
      <c r="G17" s="58"/>
      <c r="H17" s="59"/>
    </row>
    <row r="18" spans="1:8" ht="46" customHeight="1">
      <c r="A18" s="31" t="s">
        <v>63</v>
      </c>
      <c r="B18" s="31" t="s">
        <v>64</v>
      </c>
      <c r="C18" s="33"/>
      <c r="D18" s="57"/>
      <c r="E18" s="58"/>
      <c r="F18" s="58"/>
      <c r="G18" s="58"/>
      <c r="H18" s="59"/>
    </row>
    <row r="19" spans="1:8" ht="46" customHeight="1">
      <c r="A19" s="31" t="s">
        <v>65</v>
      </c>
      <c r="B19" s="31" t="s">
        <v>66</v>
      </c>
      <c r="C19" s="33"/>
      <c r="D19" s="57"/>
      <c r="E19" s="58"/>
      <c r="F19" s="58"/>
      <c r="G19" s="58"/>
      <c r="H19" s="59"/>
    </row>
    <row r="20" spans="1:8" ht="46" customHeight="1">
      <c r="A20" s="31" t="s">
        <v>67</v>
      </c>
      <c r="B20" s="31" t="s">
        <v>68</v>
      </c>
      <c r="C20" s="33"/>
      <c r="D20" s="57"/>
      <c r="E20" s="58"/>
      <c r="F20" s="58"/>
      <c r="G20" s="58"/>
      <c r="H20" s="59"/>
    </row>
    <row r="21" spans="1:8" ht="46" customHeight="1">
      <c r="A21" s="31" t="s">
        <v>69</v>
      </c>
      <c r="B21" s="31" t="s">
        <v>70</v>
      </c>
      <c r="C21" s="33"/>
      <c r="D21" s="57"/>
      <c r="E21" s="58"/>
      <c r="F21" s="58"/>
      <c r="G21" s="58"/>
      <c r="H21" s="59"/>
    </row>
    <row r="22" spans="1:8" ht="46" customHeight="1">
      <c r="A22" s="31" t="s">
        <v>71</v>
      </c>
      <c r="B22" s="31" t="s">
        <v>72</v>
      </c>
      <c r="C22" s="33"/>
      <c r="D22" s="57"/>
      <c r="E22" s="58"/>
      <c r="F22" s="58"/>
      <c r="G22" s="58"/>
      <c r="H22" s="59"/>
    </row>
    <row r="23" spans="1:8" ht="46" customHeight="1">
      <c r="A23" s="31" t="s">
        <v>73</v>
      </c>
      <c r="B23" s="31" t="s">
        <v>74</v>
      </c>
      <c r="C23" s="33"/>
      <c r="D23" s="60"/>
      <c r="E23" s="61"/>
      <c r="F23" s="61"/>
      <c r="G23" s="61"/>
      <c r="H23" s="62"/>
    </row>
  </sheetData>
  <mergeCells count="5">
    <mergeCell ref="A1:H2"/>
    <mergeCell ref="A3:H3"/>
    <mergeCell ref="A5:H5"/>
    <mergeCell ref="A14:H14"/>
    <mergeCell ref="D16:H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
  <sheetViews>
    <sheetView showGridLines="0" workbookViewId="0">
      <selection activeCell="E9" sqref="E9"/>
    </sheetView>
  </sheetViews>
  <sheetFormatPr baseColWidth="10" defaultColWidth="8.83203125" defaultRowHeight="14"/>
  <cols>
    <col min="1" max="1" width="18" customWidth="1"/>
    <col min="2" max="2" width="24" customWidth="1"/>
    <col min="3" max="3" width="52.1640625" customWidth="1"/>
    <col min="4" max="4" width="29.6640625" customWidth="1"/>
    <col min="5" max="5" width="42" customWidth="1"/>
    <col min="6" max="6" width="24" customWidth="1"/>
    <col min="7" max="7" width="42" customWidth="1"/>
    <col min="8" max="8" width="23" customWidth="1"/>
    <col min="9" max="9" width="38" customWidth="1"/>
    <col min="10" max="10" width="23" customWidth="1"/>
    <col min="11" max="11" width="38" customWidth="1"/>
    <col min="12" max="12" width="62" customWidth="1"/>
    <col min="13" max="14" width="56" customWidth="1"/>
    <col min="15" max="15" width="62" customWidth="1"/>
    <col min="16" max="16" width="42.5" customWidth="1"/>
  </cols>
  <sheetData>
    <row r="1" spans="1:16" ht="28" customHeight="1">
      <c r="A1" s="66" t="s">
        <v>75</v>
      </c>
      <c r="B1" s="66"/>
      <c r="C1" s="66"/>
      <c r="D1" s="66"/>
      <c r="E1" s="66"/>
      <c r="F1" s="66"/>
      <c r="G1" s="66"/>
      <c r="H1" s="66"/>
      <c r="I1" s="66"/>
      <c r="J1" s="66"/>
      <c r="K1" s="66"/>
      <c r="L1" s="66"/>
      <c r="M1" s="66"/>
      <c r="N1" s="66"/>
      <c r="O1" s="66"/>
      <c r="P1" s="66"/>
    </row>
    <row r="2" spans="1:16" ht="28" customHeight="1">
      <c r="A2" s="66"/>
      <c r="B2" s="66"/>
      <c r="C2" s="66"/>
      <c r="D2" s="66"/>
      <c r="E2" s="66"/>
      <c r="F2" s="66"/>
      <c r="G2" s="66"/>
      <c r="H2" s="66"/>
      <c r="I2" s="66"/>
      <c r="J2" s="66"/>
      <c r="K2" s="66"/>
      <c r="L2" s="66"/>
      <c r="M2" s="66"/>
      <c r="N2" s="66"/>
      <c r="O2" s="66"/>
      <c r="P2" s="66"/>
    </row>
    <row r="3" spans="1:16" ht="34" customHeight="1">
      <c r="A3" s="63" t="s">
        <v>76</v>
      </c>
      <c r="B3" s="63"/>
      <c r="C3" s="63"/>
      <c r="D3" s="63"/>
      <c r="E3" s="63"/>
      <c r="F3" s="63"/>
      <c r="G3" s="63"/>
      <c r="H3" s="63"/>
      <c r="I3" s="63"/>
      <c r="J3" s="63"/>
      <c r="K3" s="63"/>
      <c r="L3" s="63"/>
      <c r="M3" s="63"/>
      <c r="N3" s="63"/>
      <c r="O3" s="63"/>
      <c r="P3" s="63"/>
    </row>
    <row r="4" spans="1:16">
      <c r="A4" s="4"/>
      <c r="B4" s="4"/>
      <c r="C4" s="4"/>
      <c r="D4" s="4"/>
      <c r="E4" s="4"/>
      <c r="F4" s="4"/>
      <c r="G4" s="4"/>
      <c r="H4" s="4"/>
      <c r="I4" s="4"/>
      <c r="J4" s="4"/>
      <c r="K4" s="4"/>
      <c r="L4" s="4"/>
      <c r="M4" s="4"/>
      <c r="N4" s="4"/>
      <c r="O4" s="4"/>
      <c r="P4" s="4"/>
    </row>
    <row r="5" spans="1:16" s="70" customFormat="1" ht="42" customHeight="1">
      <c r="A5" s="67" t="s">
        <v>77</v>
      </c>
      <c r="B5" s="68" t="s">
        <v>78</v>
      </c>
      <c r="C5" s="68" t="s">
        <v>79</v>
      </c>
      <c r="D5" s="68" t="s">
        <v>80</v>
      </c>
      <c r="E5" s="68" t="s">
        <v>81</v>
      </c>
      <c r="F5" s="68" t="s">
        <v>82</v>
      </c>
      <c r="G5" s="68" t="s">
        <v>83</v>
      </c>
      <c r="H5" s="68" t="s">
        <v>84</v>
      </c>
      <c r="I5" s="68" t="s">
        <v>85</v>
      </c>
      <c r="J5" s="68" t="s">
        <v>86</v>
      </c>
      <c r="K5" s="68" t="s">
        <v>87</v>
      </c>
      <c r="L5" s="68" t="s">
        <v>88</v>
      </c>
      <c r="M5" s="68" t="s">
        <v>89</v>
      </c>
      <c r="N5" s="68" t="s">
        <v>90</v>
      </c>
      <c r="O5" s="68" t="s">
        <v>91</v>
      </c>
      <c r="P5" s="69" t="s">
        <v>92</v>
      </c>
    </row>
    <row r="6" spans="1:16" ht="172" customHeight="1">
      <c r="A6" s="6" t="s">
        <v>93</v>
      </c>
      <c r="B6" s="6" t="s">
        <v>94</v>
      </c>
      <c r="C6" s="6" t="s">
        <v>95</v>
      </c>
      <c r="D6" s="6" t="s">
        <v>96</v>
      </c>
      <c r="E6" s="6" t="s">
        <v>97</v>
      </c>
      <c r="F6" s="6" t="s">
        <v>98</v>
      </c>
      <c r="G6" s="6" t="s">
        <v>99</v>
      </c>
      <c r="H6" s="6" t="s">
        <v>100</v>
      </c>
      <c r="I6" s="6" t="s">
        <v>101</v>
      </c>
      <c r="J6" s="6" t="s">
        <v>102</v>
      </c>
      <c r="K6" s="6" t="s">
        <v>103</v>
      </c>
      <c r="L6" s="6" t="s">
        <v>104</v>
      </c>
      <c r="M6" s="6" t="s">
        <v>105</v>
      </c>
      <c r="N6" s="6" t="s">
        <v>106</v>
      </c>
      <c r="O6" s="6" t="s">
        <v>107</v>
      </c>
      <c r="P6" s="9"/>
    </row>
    <row r="7" spans="1:16" ht="186" customHeight="1">
      <c r="A7" s="12" t="s">
        <v>108</v>
      </c>
      <c r="B7" s="12" t="s">
        <v>109</v>
      </c>
      <c r="C7" s="12" t="s">
        <v>110</v>
      </c>
      <c r="D7" s="12" t="s">
        <v>111</v>
      </c>
      <c r="E7" s="12" t="s">
        <v>112</v>
      </c>
      <c r="F7" s="12" t="s">
        <v>113</v>
      </c>
      <c r="G7" s="12" t="s">
        <v>114</v>
      </c>
      <c r="H7" s="12" t="s">
        <v>115</v>
      </c>
      <c r="I7" s="12" t="s">
        <v>116</v>
      </c>
      <c r="J7" s="12" t="s">
        <v>117</v>
      </c>
      <c r="K7" s="12" t="s">
        <v>118</v>
      </c>
      <c r="L7" s="12" t="s">
        <v>119</v>
      </c>
      <c r="M7" s="12" t="s">
        <v>120</v>
      </c>
      <c r="N7" s="12" t="s">
        <v>121</v>
      </c>
      <c r="O7" s="12" t="s">
        <v>122</v>
      </c>
      <c r="P7" s="15"/>
    </row>
    <row r="8" spans="1:16" ht="169" customHeight="1">
      <c r="A8" s="12" t="s">
        <v>123</v>
      </c>
      <c r="B8" s="12" t="s">
        <v>124</v>
      </c>
      <c r="C8" s="12" t="s">
        <v>125</v>
      </c>
      <c r="D8" s="12" t="s">
        <v>126</v>
      </c>
      <c r="E8" s="12" t="s">
        <v>127</v>
      </c>
      <c r="F8" s="12" t="s">
        <v>128</v>
      </c>
      <c r="G8" s="12" t="s">
        <v>129</v>
      </c>
      <c r="H8" s="12" t="s">
        <v>130</v>
      </c>
      <c r="I8" s="12" t="s">
        <v>131</v>
      </c>
      <c r="J8" s="12" t="s">
        <v>132</v>
      </c>
      <c r="K8" s="12" t="s">
        <v>133</v>
      </c>
      <c r="L8" s="12" t="s">
        <v>134</v>
      </c>
      <c r="M8" s="12" t="s">
        <v>135</v>
      </c>
      <c r="N8" s="12" t="s">
        <v>136</v>
      </c>
      <c r="O8" s="12" t="s">
        <v>137</v>
      </c>
      <c r="P8" s="15"/>
    </row>
    <row r="9" spans="1:16" ht="184" customHeight="1">
      <c r="A9" s="12" t="s">
        <v>138</v>
      </c>
      <c r="B9" s="12" t="s">
        <v>139</v>
      </c>
      <c r="C9" s="12" t="s">
        <v>140</v>
      </c>
      <c r="D9" s="12" t="s">
        <v>141</v>
      </c>
      <c r="E9" s="12" t="s">
        <v>142</v>
      </c>
      <c r="F9" s="12" t="s">
        <v>143</v>
      </c>
      <c r="G9" s="12" t="s">
        <v>144</v>
      </c>
      <c r="H9" s="12" t="s">
        <v>145</v>
      </c>
      <c r="I9" s="12" t="s">
        <v>146</v>
      </c>
      <c r="J9" s="12" t="s">
        <v>147</v>
      </c>
      <c r="K9" s="12" t="s">
        <v>148</v>
      </c>
      <c r="L9" s="12" t="s">
        <v>149</v>
      </c>
      <c r="M9" s="12" t="s">
        <v>150</v>
      </c>
      <c r="N9" s="12" t="s">
        <v>151</v>
      </c>
      <c r="O9" s="12" t="s">
        <v>152</v>
      </c>
      <c r="P9" s="15"/>
    </row>
    <row r="10" spans="1:16" ht="223" customHeight="1">
      <c r="A10" s="12" t="s">
        <v>153</v>
      </c>
      <c r="B10" s="12" t="s">
        <v>154</v>
      </c>
      <c r="C10" s="12" t="s">
        <v>155</v>
      </c>
      <c r="D10" s="12" t="s">
        <v>156</v>
      </c>
      <c r="E10" s="12" t="s">
        <v>157</v>
      </c>
      <c r="F10" s="12" t="s">
        <v>158</v>
      </c>
      <c r="G10" s="12" t="s">
        <v>159</v>
      </c>
      <c r="H10" s="12" t="s">
        <v>160</v>
      </c>
      <c r="I10" s="12" t="s">
        <v>161</v>
      </c>
      <c r="J10" s="12" t="s">
        <v>162</v>
      </c>
      <c r="K10" s="12" t="s">
        <v>163</v>
      </c>
      <c r="L10" s="12" t="s">
        <v>164</v>
      </c>
      <c r="M10" s="12" t="s">
        <v>165</v>
      </c>
      <c r="N10" s="12" t="s">
        <v>166</v>
      </c>
      <c r="O10" s="12" t="s">
        <v>167</v>
      </c>
      <c r="P10" s="15"/>
    </row>
  </sheetData>
  <mergeCells count="2">
    <mergeCell ref="A1:P2"/>
    <mergeCell ref="A3:P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25"/>
  <sheetViews>
    <sheetView showGridLines="0" topLeftCell="H45" workbookViewId="0">
      <selection activeCell="F102" sqref="F102"/>
    </sheetView>
  </sheetViews>
  <sheetFormatPr baseColWidth="10" defaultColWidth="8.83203125" defaultRowHeight="14"/>
  <cols>
    <col min="1" max="1" width="24" customWidth="1"/>
    <col min="2" max="2" width="18" customWidth="1"/>
    <col min="3" max="3" width="24" customWidth="1"/>
    <col min="4" max="4" width="40" customWidth="1"/>
    <col min="5" max="5" width="12" customWidth="1"/>
    <col min="6" max="6" width="42" customWidth="1"/>
    <col min="7" max="7" width="12" customWidth="1"/>
    <col min="8" max="8" width="42" customWidth="1"/>
    <col min="9" max="9" width="12" customWidth="1"/>
    <col min="10" max="10" width="42" customWidth="1"/>
    <col min="11" max="11" width="12" customWidth="1"/>
    <col min="12" max="12" width="42" customWidth="1"/>
    <col min="13" max="14" width="10" customWidth="1"/>
    <col min="15" max="15" width="18" customWidth="1"/>
    <col min="16" max="19" width="13" customWidth="1"/>
    <col min="20" max="20" width="15" customWidth="1"/>
    <col min="21" max="21" width="12" customWidth="1"/>
    <col min="22" max="22" width="20" customWidth="1"/>
    <col min="23" max="24" width="58" customWidth="1"/>
    <col min="25" max="25" width="55" customWidth="1"/>
    <col min="26" max="26" width="59" customWidth="1"/>
    <col min="27" max="27" width="18" customWidth="1"/>
    <col min="28" max="28" width="36" customWidth="1"/>
  </cols>
  <sheetData>
    <row r="1" spans="1:28" ht="28" customHeight="1">
      <c r="A1" s="38" t="s">
        <v>12</v>
      </c>
      <c r="B1" s="38"/>
      <c r="C1" s="38"/>
      <c r="D1" s="38"/>
      <c r="E1" s="38"/>
      <c r="F1" s="38"/>
      <c r="G1" s="38"/>
      <c r="H1" s="38"/>
      <c r="I1" s="38"/>
      <c r="J1" s="38"/>
      <c r="K1" s="38"/>
      <c r="L1" s="38"/>
      <c r="M1" s="38"/>
      <c r="N1" s="38"/>
      <c r="O1" s="38"/>
      <c r="P1" s="38"/>
      <c r="Q1" s="38"/>
      <c r="R1" s="38"/>
      <c r="S1" s="38"/>
      <c r="T1" s="38"/>
      <c r="U1" s="38"/>
      <c r="V1" s="38"/>
      <c r="W1" s="38"/>
      <c r="X1" s="38"/>
      <c r="Y1" s="38"/>
      <c r="Z1" s="38"/>
      <c r="AA1" s="38"/>
      <c r="AB1" s="38"/>
    </row>
    <row r="2" spans="1:28" ht="28" customHeight="1">
      <c r="A2" s="38"/>
      <c r="B2" s="38"/>
      <c r="C2" s="38"/>
      <c r="D2" s="38"/>
      <c r="E2" s="38"/>
      <c r="F2" s="38"/>
      <c r="G2" s="38"/>
      <c r="H2" s="38"/>
      <c r="I2" s="38"/>
      <c r="J2" s="38"/>
      <c r="K2" s="38"/>
      <c r="L2" s="38"/>
      <c r="M2" s="38"/>
      <c r="N2" s="38"/>
      <c r="O2" s="38"/>
      <c r="P2" s="38"/>
      <c r="Q2" s="38"/>
      <c r="R2" s="38"/>
      <c r="S2" s="38"/>
      <c r="T2" s="38"/>
      <c r="U2" s="38"/>
      <c r="V2" s="38"/>
      <c r="W2" s="38"/>
      <c r="X2" s="38"/>
      <c r="Y2" s="38"/>
      <c r="Z2" s="38"/>
      <c r="AA2" s="38"/>
      <c r="AB2" s="38"/>
    </row>
    <row r="3" spans="1:28" ht="34" customHeight="1">
      <c r="A3" s="64" t="s">
        <v>168</v>
      </c>
      <c r="B3" s="64"/>
      <c r="C3" s="64"/>
      <c r="D3" s="64"/>
      <c r="E3" s="64"/>
      <c r="F3" s="64"/>
      <c r="G3" s="64"/>
      <c r="H3" s="64"/>
      <c r="I3" s="64"/>
      <c r="J3" s="64"/>
      <c r="K3" s="64"/>
      <c r="L3" s="64"/>
      <c r="M3" s="64"/>
      <c r="N3" s="64"/>
      <c r="O3" s="64"/>
      <c r="P3" s="64"/>
      <c r="Q3" s="64"/>
      <c r="R3" s="64"/>
      <c r="S3" s="64"/>
      <c r="T3" s="64"/>
      <c r="U3" s="64"/>
      <c r="V3" s="64"/>
      <c r="W3" s="64"/>
      <c r="X3" s="64"/>
      <c r="Y3" s="64"/>
      <c r="Z3" s="64"/>
      <c r="AA3" s="64"/>
      <c r="AB3" s="64"/>
    </row>
    <row r="4" spans="1:28">
      <c r="A4" s="4"/>
      <c r="B4" s="4"/>
      <c r="C4" s="4"/>
      <c r="D4" s="4"/>
      <c r="E4" s="4"/>
      <c r="F4" s="4"/>
      <c r="G4" s="4"/>
      <c r="H4" s="4"/>
      <c r="I4" s="4"/>
      <c r="J4" s="4"/>
      <c r="K4" s="4"/>
      <c r="L4" s="4"/>
      <c r="M4" s="4"/>
      <c r="N4" s="4"/>
      <c r="O4" s="4"/>
      <c r="P4" s="4"/>
      <c r="Q4" s="4"/>
      <c r="R4" s="4"/>
      <c r="S4" s="4"/>
      <c r="T4" s="4"/>
      <c r="U4" s="4"/>
      <c r="V4" s="4"/>
      <c r="W4" s="4"/>
      <c r="X4" s="4"/>
      <c r="Y4" s="4"/>
      <c r="Z4" s="4"/>
      <c r="AA4" s="4"/>
      <c r="AB4" s="4"/>
    </row>
    <row r="5" spans="1:28" ht="42" customHeight="1">
      <c r="A5" s="1" t="s">
        <v>169</v>
      </c>
      <c r="B5" s="2" t="s">
        <v>77</v>
      </c>
      <c r="C5" s="2" t="s">
        <v>78</v>
      </c>
      <c r="D5" s="2" t="s">
        <v>79</v>
      </c>
      <c r="E5" s="2" t="s">
        <v>170</v>
      </c>
      <c r="F5" s="2" t="s">
        <v>171</v>
      </c>
      <c r="G5" s="2" t="s">
        <v>172</v>
      </c>
      <c r="H5" s="2" t="s">
        <v>173</v>
      </c>
      <c r="I5" s="2" t="s">
        <v>174</v>
      </c>
      <c r="J5" s="2" t="s">
        <v>175</v>
      </c>
      <c r="K5" s="2" t="s">
        <v>176</v>
      </c>
      <c r="L5" s="2" t="s">
        <v>177</v>
      </c>
      <c r="M5" s="2" t="s">
        <v>178</v>
      </c>
      <c r="N5" s="2" t="s">
        <v>179</v>
      </c>
      <c r="O5" s="2" t="s">
        <v>180</v>
      </c>
      <c r="P5" s="2" t="s">
        <v>181</v>
      </c>
      <c r="Q5" s="2" t="s">
        <v>182</v>
      </c>
      <c r="R5" s="2" t="s">
        <v>183</v>
      </c>
      <c r="S5" s="2" t="s">
        <v>184</v>
      </c>
      <c r="T5" s="2" t="s">
        <v>185</v>
      </c>
      <c r="U5" s="2" t="s">
        <v>186</v>
      </c>
      <c r="V5" s="2" t="s">
        <v>187</v>
      </c>
      <c r="W5" s="2" t="s">
        <v>188</v>
      </c>
      <c r="X5" s="2" t="s">
        <v>189</v>
      </c>
      <c r="Y5" s="2" t="s">
        <v>14</v>
      </c>
      <c r="Z5" s="2" t="s">
        <v>190</v>
      </c>
      <c r="AA5" s="2" t="s">
        <v>191</v>
      </c>
      <c r="AB5" s="3" t="s">
        <v>92</v>
      </c>
    </row>
    <row r="6" spans="1:28" ht="78" customHeight="1">
      <c r="A6" s="6" t="s">
        <v>192</v>
      </c>
      <c r="B6" s="6" t="s">
        <v>93</v>
      </c>
      <c r="C6" s="6" t="s">
        <v>94</v>
      </c>
      <c r="D6" s="6" t="s">
        <v>95</v>
      </c>
      <c r="E6" s="6" t="s">
        <v>193</v>
      </c>
      <c r="F6" s="6" t="s">
        <v>194</v>
      </c>
      <c r="G6" s="6" t="s">
        <v>195</v>
      </c>
      <c r="H6" s="6" t="s">
        <v>196</v>
      </c>
      <c r="I6" s="6" t="s">
        <v>197</v>
      </c>
      <c r="J6" s="6" t="s">
        <v>198</v>
      </c>
      <c r="K6" s="6" t="s">
        <v>199</v>
      </c>
      <c r="L6" s="6" t="s">
        <v>200</v>
      </c>
      <c r="M6" s="7">
        <f t="shared" ref="M6:M37" si="0">IF(E6="K1",1,IF(G6="K1",2,IF(I6="K1",3,4)))</f>
        <v>1</v>
      </c>
      <c r="N6" s="7">
        <f t="shared" ref="N6:N37" si="1">IF(E6="K2",1,IF(G6="K2",2,IF(I6="K2",3,4)))</f>
        <v>2</v>
      </c>
      <c r="O6" s="7" t="str">
        <f t="shared" ref="O6:O37" si="2">IF(AND(M6&lt;=2,N6&lt;=2),"Grounded",IF(OR(M6&lt;=2,N6&lt;=2),"Partial","Risky"))</f>
        <v>Grounded</v>
      </c>
      <c r="P6" s="8">
        <f t="shared" ref="P6:P37" si="3">IF(O6="Grounded",100,IF(O6="Partial",50,0))</f>
        <v>100</v>
      </c>
      <c r="Q6" s="8">
        <f t="shared" ref="Q6:Q37" si="4">MAX(0,50-ABS(M6-1)*15)+MAX(0,50-ABS(N6-2)*15)</f>
        <v>100</v>
      </c>
      <c r="R6" s="8">
        <f t="shared" ref="R6:R37" si="5">IF(O6="Grounded",100,IF(O6="Partial",60,10))</f>
        <v>100</v>
      </c>
      <c r="S6" s="8">
        <f t="shared" ref="S6:S37" si="6">IF(O6="Grounded",100,IF(O6="Partial",50,0))</f>
        <v>100</v>
      </c>
      <c r="T6" s="8">
        <f t="shared" ref="T6:T37" si="7">IF(O6="Grounded",0,IF(O6="Partial",40,90))</f>
        <v>0</v>
      </c>
      <c r="U6" s="8">
        <f t="shared" ref="U6:U37" si="8">ROUND((P6+Q6+R6+S6+(100-T6))/5,0)</f>
        <v>100</v>
      </c>
      <c r="V6" s="7" t="str">
        <f t="shared" ref="V6:V37" si="9">O6</f>
        <v>Grounded</v>
      </c>
      <c r="W6" s="7" t="str">
        <f t="shared" ref="W6:W29" si="10">IF(O6="Grounded","MISSION SUCCESS: The shield remains offline. Battery power is preserved for essential systems.",IF(O6="Partial","MISSION PROTECTED: Response held for more evidence; Try New Mission.","RISK BLOCKED: Unsupported action prevented; Try New Mission."))</f>
        <v>MISSION SUCCESS: The shield remains offline. Battery power is preserved for essential systems.</v>
      </c>
      <c r="X6" s="7" t="str">
        <f t="shared" ref="X6:X29" si="11">IF(O6="Grounded","MISSION SUCCESS + PROCESS WARNING; trust 70. The shield remains offline. Battery power is preserved for essential systems.",IF(O6="Partial","MISSION DELAYED; trust 35. The crew pauses the decision while battery reserves continue to fall.","GAME OVER; trust 5. The shield overloads the low-battery system and causes a shipwide power emergency."))</f>
        <v>MISSION SUCCESS + PROCESS WARNING; trust 70. The shield remains offline. Battery power is preserved for essential systems.</v>
      </c>
      <c r="Y6" s="7" t="str">
        <f t="shared" ref="Y6:Y37" si="12">O6&amp;" answer | Retrieval "&amp;P6&amp;"% | Ranking "&amp;Q6&amp;"% | Grounding "&amp;R6&amp;"% | Citation "&amp;S6&amp;"% | Hallucination Risk "&amp;T6&amp;"% | Trust "&amp;U6&amp;"%"</f>
        <v>Grounded answer | Retrieval 100% | Ranking 100% | Grounding 100% | Citation 100% | Hallucination Risk 0% | Trust 100%</v>
      </c>
      <c r="Z6" s="9" t="s">
        <v>621</v>
      </c>
      <c r="AA6" s="10" t="s">
        <v>618</v>
      </c>
      <c r="AB6" s="11"/>
    </row>
    <row r="7" spans="1:28" ht="78" customHeight="1">
      <c r="A7" s="12" t="s">
        <v>201</v>
      </c>
      <c r="B7" s="12" t="s">
        <v>93</v>
      </c>
      <c r="C7" s="12" t="s">
        <v>94</v>
      </c>
      <c r="D7" s="12" t="s">
        <v>95</v>
      </c>
      <c r="E7" s="12" t="s">
        <v>193</v>
      </c>
      <c r="F7" s="12" t="s">
        <v>194</v>
      </c>
      <c r="G7" s="12" t="s">
        <v>195</v>
      </c>
      <c r="H7" s="12" t="s">
        <v>196</v>
      </c>
      <c r="I7" s="12" t="s">
        <v>199</v>
      </c>
      <c r="J7" s="12" t="s">
        <v>200</v>
      </c>
      <c r="K7" s="12" t="s">
        <v>197</v>
      </c>
      <c r="L7" s="12" t="s">
        <v>198</v>
      </c>
      <c r="M7" s="13">
        <f t="shared" si="0"/>
        <v>1</v>
      </c>
      <c r="N7" s="13">
        <f t="shared" si="1"/>
        <v>2</v>
      </c>
      <c r="O7" s="13" t="str">
        <f t="shared" si="2"/>
        <v>Grounded</v>
      </c>
      <c r="P7" s="14">
        <f t="shared" si="3"/>
        <v>100</v>
      </c>
      <c r="Q7" s="14">
        <f t="shared" si="4"/>
        <v>100</v>
      </c>
      <c r="R7" s="14">
        <f t="shared" si="5"/>
        <v>100</v>
      </c>
      <c r="S7" s="14">
        <f t="shared" si="6"/>
        <v>100</v>
      </c>
      <c r="T7" s="14">
        <f t="shared" si="7"/>
        <v>0</v>
      </c>
      <c r="U7" s="14">
        <f t="shared" si="8"/>
        <v>100</v>
      </c>
      <c r="V7" s="13" t="str">
        <f t="shared" si="9"/>
        <v>Grounded</v>
      </c>
      <c r="W7" s="13" t="str">
        <f t="shared" si="10"/>
        <v>MISSION SUCCESS: The shield remains offline. Battery power is preserved for essential systems.</v>
      </c>
      <c r="X7" s="13" t="str">
        <f t="shared" si="11"/>
        <v>MISSION SUCCESS + PROCESS WARNING; trust 70. The shield remains offline. Battery power is preserved for essential systems.</v>
      </c>
      <c r="Y7" s="13" t="str">
        <f t="shared" si="12"/>
        <v>Grounded answer | Retrieval 100% | Ranking 100% | Grounding 100% | Citation 100% | Hallucination Risk 0% | Trust 100%</v>
      </c>
      <c r="Z7" s="15" t="s">
        <v>621</v>
      </c>
      <c r="AA7" s="16" t="s">
        <v>618</v>
      </c>
      <c r="AB7" s="17"/>
    </row>
    <row r="8" spans="1:28" ht="78" customHeight="1">
      <c r="A8" s="12" t="s">
        <v>202</v>
      </c>
      <c r="B8" s="12" t="s">
        <v>93</v>
      </c>
      <c r="C8" s="12" t="s">
        <v>94</v>
      </c>
      <c r="D8" s="12" t="s">
        <v>95</v>
      </c>
      <c r="E8" s="12" t="s">
        <v>193</v>
      </c>
      <c r="F8" s="12" t="s">
        <v>194</v>
      </c>
      <c r="G8" s="12" t="s">
        <v>197</v>
      </c>
      <c r="H8" s="12" t="s">
        <v>198</v>
      </c>
      <c r="I8" s="12" t="s">
        <v>195</v>
      </c>
      <c r="J8" s="12" t="s">
        <v>196</v>
      </c>
      <c r="K8" s="12" t="s">
        <v>199</v>
      </c>
      <c r="L8" s="12" t="s">
        <v>200</v>
      </c>
      <c r="M8" s="13">
        <f t="shared" si="0"/>
        <v>1</v>
      </c>
      <c r="N8" s="13">
        <f t="shared" si="1"/>
        <v>3</v>
      </c>
      <c r="O8" s="13" t="str">
        <f t="shared" si="2"/>
        <v>Partial</v>
      </c>
      <c r="P8" s="14">
        <f t="shared" si="3"/>
        <v>50</v>
      </c>
      <c r="Q8" s="14">
        <f t="shared" si="4"/>
        <v>85</v>
      </c>
      <c r="R8" s="14">
        <f t="shared" si="5"/>
        <v>60</v>
      </c>
      <c r="S8" s="14">
        <f t="shared" si="6"/>
        <v>50</v>
      </c>
      <c r="T8" s="14">
        <f t="shared" si="7"/>
        <v>40</v>
      </c>
      <c r="U8" s="14">
        <f t="shared" si="8"/>
        <v>61</v>
      </c>
      <c r="V8" s="13" t="str">
        <f t="shared" si="9"/>
        <v>Partial</v>
      </c>
      <c r="W8" s="13" t="str">
        <f t="shared" si="10"/>
        <v>MISSION PROTECTED: Response held for more evidence; Try New Mission.</v>
      </c>
      <c r="X8" s="13" t="str">
        <f t="shared" si="11"/>
        <v>MISSION DELAYED; trust 35. The crew pauses the decision while battery reserves continue to fall.</v>
      </c>
      <c r="Y8" s="13" t="str">
        <f t="shared" si="12"/>
        <v>Partial answer | Retrieval 50% | Ranking 85% | Grounding 60% | Citation 50% | Hallucination Risk 40% | Trust 61%</v>
      </c>
      <c r="Z8" s="15"/>
      <c r="AA8" s="16" t="s">
        <v>23</v>
      </c>
      <c r="AB8" s="17"/>
    </row>
    <row r="9" spans="1:28" ht="78" customHeight="1">
      <c r="A9" s="12" t="s">
        <v>203</v>
      </c>
      <c r="B9" s="12" t="s">
        <v>93</v>
      </c>
      <c r="C9" s="12" t="s">
        <v>94</v>
      </c>
      <c r="D9" s="12" t="s">
        <v>95</v>
      </c>
      <c r="E9" s="12" t="s">
        <v>193</v>
      </c>
      <c r="F9" s="12" t="s">
        <v>194</v>
      </c>
      <c r="G9" s="12" t="s">
        <v>197</v>
      </c>
      <c r="H9" s="12" t="s">
        <v>198</v>
      </c>
      <c r="I9" s="12" t="s">
        <v>199</v>
      </c>
      <c r="J9" s="12" t="s">
        <v>200</v>
      </c>
      <c r="K9" s="12" t="s">
        <v>195</v>
      </c>
      <c r="L9" s="12" t="s">
        <v>196</v>
      </c>
      <c r="M9" s="13">
        <f t="shared" si="0"/>
        <v>1</v>
      </c>
      <c r="N9" s="13">
        <f t="shared" si="1"/>
        <v>4</v>
      </c>
      <c r="O9" s="13" t="str">
        <f t="shared" si="2"/>
        <v>Partial</v>
      </c>
      <c r="P9" s="14">
        <f t="shared" si="3"/>
        <v>50</v>
      </c>
      <c r="Q9" s="14">
        <f t="shared" si="4"/>
        <v>70</v>
      </c>
      <c r="R9" s="14">
        <f t="shared" si="5"/>
        <v>60</v>
      </c>
      <c r="S9" s="14">
        <f t="shared" si="6"/>
        <v>50</v>
      </c>
      <c r="T9" s="14">
        <f t="shared" si="7"/>
        <v>40</v>
      </c>
      <c r="U9" s="14">
        <f t="shared" si="8"/>
        <v>58</v>
      </c>
      <c r="V9" s="13" t="str">
        <f t="shared" si="9"/>
        <v>Partial</v>
      </c>
      <c r="W9" s="13" t="str">
        <f t="shared" si="10"/>
        <v>MISSION PROTECTED: Response held for more evidence; Try New Mission.</v>
      </c>
      <c r="X9" s="13" t="str">
        <f t="shared" si="11"/>
        <v>MISSION DELAYED; trust 35. The crew pauses the decision while battery reserves continue to fall.</v>
      </c>
      <c r="Y9" s="13" t="str">
        <f t="shared" si="12"/>
        <v>Partial answer | Retrieval 50% | Ranking 70% | Grounding 60% | Citation 50% | Hallucination Risk 40% | Trust 58%</v>
      </c>
      <c r="Z9" s="15"/>
      <c r="AA9" s="16" t="s">
        <v>23</v>
      </c>
      <c r="AB9" s="17"/>
    </row>
    <row r="10" spans="1:28" ht="78" customHeight="1">
      <c r="A10" s="12" t="s">
        <v>204</v>
      </c>
      <c r="B10" s="12" t="s">
        <v>93</v>
      </c>
      <c r="C10" s="12" t="s">
        <v>94</v>
      </c>
      <c r="D10" s="12" t="s">
        <v>95</v>
      </c>
      <c r="E10" s="12" t="s">
        <v>193</v>
      </c>
      <c r="F10" s="12" t="s">
        <v>194</v>
      </c>
      <c r="G10" s="12" t="s">
        <v>199</v>
      </c>
      <c r="H10" s="12" t="s">
        <v>200</v>
      </c>
      <c r="I10" s="12" t="s">
        <v>195</v>
      </c>
      <c r="J10" s="12" t="s">
        <v>196</v>
      </c>
      <c r="K10" s="12" t="s">
        <v>197</v>
      </c>
      <c r="L10" s="12" t="s">
        <v>198</v>
      </c>
      <c r="M10" s="13">
        <f t="shared" si="0"/>
        <v>1</v>
      </c>
      <c r="N10" s="13">
        <f t="shared" si="1"/>
        <v>3</v>
      </c>
      <c r="O10" s="13" t="str">
        <f t="shared" si="2"/>
        <v>Partial</v>
      </c>
      <c r="P10" s="14">
        <f t="shared" si="3"/>
        <v>50</v>
      </c>
      <c r="Q10" s="14">
        <f t="shared" si="4"/>
        <v>85</v>
      </c>
      <c r="R10" s="14">
        <f t="shared" si="5"/>
        <v>60</v>
      </c>
      <c r="S10" s="14">
        <f t="shared" si="6"/>
        <v>50</v>
      </c>
      <c r="T10" s="14">
        <f t="shared" si="7"/>
        <v>40</v>
      </c>
      <c r="U10" s="14">
        <f t="shared" si="8"/>
        <v>61</v>
      </c>
      <c r="V10" s="13" t="str">
        <f t="shared" si="9"/>
        <v>Partial</v>
      </c>
      <c r="W10" s="13" t="str">
        <f t="shared" si="10"/>
        <v>MISSION PROTECTED: Response held for more evidence; Try New Mission.</v>
      </c>
      <c r="X10" s="13" t="str">
        <f t="shared" si="11"/>
        <v>MISSION DELAYED; trust 35. The crew pauses the decision while battery reserves continue to fall.</v>
      </c>
      <c r="Y10" s="13" t="str">
        <f t="shared" si="12"/>
        <v>Partial answer | Retrieval 50% | Ranking 85% | Grounding 60% | Citation 50% | Hallucination Risk 40% | Trust 61%</v>
      </c>
      <c r="Z10" s="15"/>
      <c r="AA10" s="16" t="s">
        <v>23</v>
      </c>
      <c r="AB10" s="17"/>
    </row>
    <row r="11" spans="1:28" ht="78" customHeight="1">
      <c r="A11" s="12" t="s">
        <v>205</v>
      </c>
      <c r="B11" s="12" t="s">
        <v>93</v>
      </c>
      <c r="C11" s="12" t="s">
        <v>94</v>
      </c>
      <c r="D11" s="12" t="s">
        <v>95</v>
      </c>
      <c r="E11" s="12" t="s">
        <v>193</v>
      </c>
      <c r="F11" s="12" t="s">
        <v>194</v>
      </c>
      <c r="G11" s="12" t="s">
        <v>199</v>
      </c>
      <c r="H11" s="12" t="s">
        <v>200</v>
      </c>
      <c r="I11" s="12" t="s">
        <v>197</v>
      </c>
      <c r="J11" s="12" t="s">
        <v>198</v>
      </c>
      <c r="K11" s="12" t="s">
        <v>195</v>
      </c>
      <c r="L11" s="12" t="s">
        <v>196</v>
      </c>
      <c r="M11" s="13">
        <f t="shared" si="0"/>
        <v>1</v>
      </c>
      <c r="N11" s="13">
        <f t="shared" si="1"/>
        <v>4</v>
      </c>
      <c r="O11" s="13" t="str">
        <f t="shared" si="2"/>
        <v>Partial</v>
      </c>
      <c r="P11" s="14">
        <f t="shared" si="3"/>
        <v>50</v>
      </c>
      <c r="Q11" s="14">
        <f t="shared" si="4"/>
        <v>70</v>
      </c>
      <c r="R11" s="14">
        <f t="shared" si="5"/>
        <v>60</v>
      </c>
      <c r="S11" s="14">
        <f t="shared" si="6"/>
        <v>50</v>
      </c>
      <c r="T11" s="14">
        <f t="shared" si="7"/>
        <v>40</v>
      </c>
      <c r="U11" s="14">
        <f t="shared" si="8"/>
        <v>58</v>
      </c>
      <c r="V11" s="13" t="str">
        <f t="shared" si="9"/>
        <v>Partial</v>
      </c>
      <c r="W11" s="13" t="str">
        <f t="shared" si="10"/>
        <v>MISSION PROTECTED: Response held for more evidence; Try New Mission.</v>
      </c>
      <c r="X11" s="13" t="str">
        <f t="shared" si="11"/>
        <v>MISSION DELAYED; trust 35. The crew pauses the decision while battery reserves continue to fall.</v>
      </c>
      <c r="Y11" s="13" t="str">
        <f t="shared" si="12"/>
        <v>Partial answer | Retrieval 50% | Ranking 70% | Grounding 60% | Citation 50% | Hallucination Risk 40% | Trust 58%</v>
      </c>
      <c r="Z11" s="15"/>
      <c r="AA11" s="16" t="s">
        <v>23</v>
      </c>
      <c r="AB11" s="17"/>
    </row>
    <row r="12" spans="1:28" ht="78" customHeight="1">
      <c r="A12" s="12" t="s">
        <v>206</v>
      </c>
      <c r="B12" s="12" t="s">
        <v>93</v>
      </c>
      <c r="C12" s="12" t="s">
        <v>94</v>
      </c>
      <c r="D12" s="12" t="s">
        <v>95</v>
      </c>
      <c r="E12" s="12" t="s">
        <v>195</v>
      </c>
      <c r="F12" s="12" t="s">
        <v>196</v>
      </c>
      <c r="G12" s="12" t="s">
        <v>193</v>
      </c>
      <c r="H12" s="12" t="s">
        <v>194</v>
      </c>
      <c r="I12" s="12" t="s">
        <v>197</v>
      </c>
      <c r="J12" s="12" t="s">
        <v>198</v>
      </c>
      <c r="K12" s="12" t="s">
        <v>199</v>
      </c>
      <c r="L12" s="12" t="s">
        <v>200</v>
      </c>
      <c r="M12" s="13">
        <f t="shared" si="0"/>
        <v>2</v>
      </c>
      <c r="N12" s="13">
        <f t="shared" si="1"/>
        <v>1</v>
      </c>
      <c r="O12" s="13" t="str">
        <f t="shared" si="2"/>
        <v>Grounded</v>
      </c>
      <c r="P12" s="14">
        <f t="shared" si="3"/>
        <v>100</v>
      </c>
      <c r="Q12" s="14">
        <f t="shared" si="4"/>
        <v>70</v>
      </c>
      <c r="R12" s="14">
        <f t="shared" si="5"/>
        <v>100</v>
      </c>
      <c r="S12" s="14">
        <f t="shared" si="6"/>
        <v>100</v>
      </c>
      <c r="T12" s="14">
        <f t="shared" si="7"/>
        <v>0</v>
      </c>
      <c r="U12" s="14">
        <f t="shared" si="8"/>
        <v>94</v>
      </c>
      <c r="V12" s="13" t="str">
        <f t="shared" si="9"/>
        <v>Grounded</v>
      </c>
      <c r="W12" s="13" t="str">
        <f t="shared" si="10"/>
        <v>MISSION SUCCESS: The shield remains offline. Battery power is preserved for essential systems.</v>
      </c>
      <c r="X12" s="13" t="str">
        <f t="shared" si="11"/>
        <v>MISSION SUCCESS + PROCESS WARNING; trust 70. The shield remains offline. Battery power is preserved for essential systems.</v>
      </c>
      <c r="Y12" s="13" t="str">
        <f t="shared" si="12"/>
        <v>Grounded answer | Retrieval 100% | Ranking 70% | Grounding 100% | Citation 100% | Hallucination Risk 0% | Trust 94%</v>
      </c>
      <c r="Z12" s="15"/>
      <c r="AA12" s="16" t="s">
        <v>23</v>
      </c>
      <c r="AB12" s="17"/>
    </row>
    <row r="13" spans="1:28" ht="78" customHeight="1">
      <c r="A13" s="12" t="s">
        <v>207</v>
      </c>
      <c r="B13" s="12" t="s">
        <v>93</v>
      </c>
      <c r="C13" s="12" t="s">
        <v>94</v>
      </c>
      <c r="D13" s="12" t="s">
        <v>95</v>
      </c>
      <c r="E13" s="12" t="s">
        <v>195</v>
      </c>
      <c r="F13" s="12" t="s">
        <v>196</v>
      </c>
      <c r="G13" s="12" t="s">
        <v>193</v>
      </c>
      <c r="H13" s="12" t="s">
        <v>194</v>
      </c>
      <c r="I13" s="12" t="s">
        <v>199</v>
      </c>
      <c r="J13" s="12" t="s">
        <v>200</v>
      </c>
      <c r="K13" s="12" t="s">
        <v>197</v>
      </c>
      <c r="L13" s="12" t="s">
        <v>198</v>
      </c>
      <c r="M13" s="13">
        <f t="shared" si="0"/>
        <v>2</v>
      </c>
      <c r="N13" s="13">
        <f t="shared" si="1"/>
        <v>1</v>
      </c>
      <c r="O13" s="13" t="str">
        <f t="shared" si="2"/>
        <v>Grounded</v>
      </c>
      <c r="P13" s="14">
        <f t="shared" si="3"/>
        <v>100</v>
      </c>
      <c r="Q13" s="14">
        <f t="shared" si="4"/>
        <v>70</v>
      </c>
      <c r="R13" s="14">
        <f t="shared" si="5"/>
        <v>100</v>
      </c>
      <c r="S13" s="14">
        <f t="shared" si="6"/>
        <v>100</v>
      </c>
      <c r="T13" s="14">
        <f t="shared" si="7"/>
        <v>0</v>
      </c>
      <c r="U13" s="14">
        <f t="shared" si="8"/>
        <v>94</v>
      </c>
      <c r="V13" s="13" t="str">
        <f t="shared" si="9"/>
        <v>Grounded</v>
      </c>
      <c r="W13" s="13" t="str">
        <f t="shared" si="10"/>
        <v>MISSION SUCCESS: The shield remains offline. Battery power is preserved for essential systems.</v>
      </c>
      <c r="X13" s="13" t="str">
        <f t="shared" si="11"/>
        <v>MISSION SUCCESS + PROCESS WARNING; trust 70. The shield remains offline. Battery power is preserved for essential systems.</v>
      </c>
      <c r="Y13" s="13" t="str">
        <f t="shared" si="12"/>
        <v>Grounded answer | Retrieval 100% | Ranking 70% | Grounding 100% | Citation 100% | Hallucination Risk 0% | Trust 94%</v>
      </c>
      <c r="Z13" s="15"/>
      <c r="AA13" s="16" t="s">
        <v>23</v>
      </c>
      <c r="AB13" s="17"/>
    </row>
    <row r="14" spans="1:28" ht="78" customHeight="1">
      <c r="A14" s="12" t="s">
        <v>208</v>
      </c>
      <c r="B14" s="12" t="s">
        <v>93</v>
      </c>
      <c r="C14" s="12" t="s">
        <v>94</v>
      </c>
      <c r="D14" s="12" t="s">
        <v>95</v>
      </c>
      <c r="E14" s="12" t="s">
        <v>195</v>
      </c>
      <c r="F14" s="12" t="s">
        <v>196</v>
      </c>
      <c r="G14" s="12" t="s">
        <v>197</v>
      </c>
      <c r="H14" s="12" t="s">
        <v>198</v>
      </c>
      <c r="I14" s="12" t="s">
        <v>193</v>
      </c>
      <c r="J14" s="12" t="s">
        <v>194</v>
      </c>
      <c r="K14" s="12" t="s">
        <v>199</v>
      </c>
      <c r="L14" s="12" t="s">
        <v>200</v>
      </c>
      <c r="M14" s="13">
        <f t="shared" si="0"/>
        <v>3</v>
      </c>
      <c r="N14" s="13">
        <f t="shared" si="1"/>
        <v>1</v>
      </c>
      <c r="O14" s="13" t="str">
        <f t="shared" si="2"/>
        <v>Partial</v>
      </c>
      <c r="P14" s="14">
        <f t="shared" si="3"/>
        <v>50</v>
      </c>
      <c r="Q14" s="14">
        <f t="shared" si="4"/>
        <v>55</v>
      </c>
      <c r="R14" s="14">
        <f t="shared" si="5"/>
        <v>60</v>
      </c>
      <c r="S14" s="14">
        <f t="shared" si="6"/>
        <v>50</v>
      </c>
      <c r="T14" s="14">
        <f t="shared" si="7"/>
        <v>40</v>
      </c>
      <c r="U14" s="14">
        <f t="shared" si="8"/>
        <v>55</v>
      </c>
      <c r="V14" s="13" t="str">
        <f t="shared" si="9"/>
        <v>Partial</v>
      </c>
      <c r="W14" s="13" t="str">
        <f t="shared" si="10"/>
        <v>MISSION PROTECTED: Response held for more evidence; Try New Mission.</v>
      </c>
      <c r="X14" s="13" t="str">
        <f t="shared" si="11"/>
        <v>MISSION DELAYED; trust 35. The crew pauses the decision while battery reserves continue to fall.</v>
      </c>
      <c r="Y14" s="13" t="str">
        <f t="shared" si="12"/>
        <v>Partial answer | Retrieval 50% | Ranking 55% | Grounding 60% | Citation 50% | Hallucination Risk 40% | Trust 55%</v>
      </c>
      <c r="Z14" s="15"/>
      <c r="AA14" s="16" t="s">
        <v>23</v>
      </c>
      <c r="AB14" s="17"/>
    </row>
    <row r="15" spans="1:28" ht="78" customHeight="1">
      <c r="A15" s="12" t="s">
        <v>209</v>
      </c>
      <c r="B15" s="12" t="s">
        <v>93</v>
      </c>
      <c r="C15" s="12" t="s">
        <v>94</v>
      </c>
      <c r="D15" s="12" t="s">
        <v>95</v>
      </c>
      <c r="E15" s="12" t="s">
        <v>195</v>
      </c>
      <c r="F15" s="12" t="s">
        <v>196</v>
      </c>
      <c r="G15" s="12" t="s">
        <v>197</v>
      </c>
      <c r="H15" s="12" t="s">
        <v>198</v>
      </c>
      <c r="I15" s="12" t="s">
        <v>199</v>
      </c>
      <c r="J15" s="12" t="s">
        <v>200</v>
      </c>
      <c r="K15" s="12" t="s">
        <v>193</v>
      </c>
      <c r="L15" s="12" t="s">
        <v>194</v>
      </c>
      <c r="M15" s="13">
        <f t="shared" si="0"/>
        <v>4</v>
      </c>
      <c r="N15" s="13">
        <f t="shared" si="1"/>
        <v>1</v>
      </c>
      <c r="O15" s="13" t="str">
        <f t="shared" si="2"/>
        <v>Partial</v>
      </c>
      <c r="P15" s="14">
        <f t="shared" si="3"/>
        <v>50</v>
      </c>
      <c r="Q15" s="14">
        <f t="shared" si="4"/>
        <v>40</v>
      </c>
      <c r="R15" s="14">
        <f t="shared" si="5"/>
        <v>60</v>
      </c>
      <c r="S15" s="14">
        <f t="shared" si="6"/>
        <v>50</v>
      </c>
      <c r="T15" s="14">
        <f t="shared" si="7"/>
        <v>40</v>
      </c>
      <c r="U15" s="14">
        <f t="shared" si="8"/>
        <v>52</v>
      </c>
      <c r="V15" s="13" t="str">
        <f t="shared" si="9"/>
        <v>Partial</v>
      </c>
      <c r="W15" s="13" t="str">
        <f t="shared" si="10"/>
        <v>MISSION PROTECTED: Response held for more evidence; Try New Mission.</v>
      </c>
      <c r="X15" s="13" t="str">
        <f t="shared" si="11"/>
        <v>MISSION DELAYED; trust 35. The crew pauses the decision while battery reserves continue to fall.</v>
      </c>
      <c r="Y15" s="13" t="str">
        <f t="shared" si="12"/>
        <v>Partial answer | Retrieval 50% | Ranking 40% | Grounding 60% | Citation 50% | Hallucination Risk 40% | Trust 52%</v>
      </c>
      <c r="Z15" s="15"/>
      <c r="AA15" s="16" t="s">
        <v>23</v>
      </c>
      <c r="AB15" s="17"/>
    </row>
    <row r="16" spans="1:28" ht="78" customHeight="1">
      <c r="A16" s="12" t="s">
        <v>210</v>
      </c>
      <c r="B16" s="12" t="s">
        <v>93</v>
      </c>
      <c r="C16" s="12" t="s">
        <v>94</v>
      </c>
      <c r="D16" s="12" t="s">
        <v>95</v>
      </c>
      <c r="E16" s="12" t="s">
        <v>195</v>
      </c>
      <c r="F16" s="12" t="s">
        <v>196</v>
      </c>
      <c r="G16" s="12" t="s">
        <v>199</v>
      </c>
      <c r="H16" s="12" t="s">
        <v>200</v>
      </c>
      <c r="I16" s="12" t="s">
        <v>193</v>
      </c>
      <c r="J16" s="12" t="s">
        <v>194</v>
      </c>
      <c r="K16" s="12" t="s">
        <v>197</v>
      </c>
      <c r="L16" s="12" t="s">
        <v>198</v>
      </c>
      <c r="M16" s="13">
        <f t="shared" si="0"/>
        <v>3</v>
      </c>
      <c r="N16" s="13">
        <f t="shared" si="1"/>
        <v>1</v>
      </c>
      <c r="O16" s="13" t="str">
        <f t="shared" si="2"/>
        <v>Partial</v>
      </c>
      <c r="P16" s="14">
        <f t="shared" si="3"/>
        <v>50</v>
      </c>
      <c r="Q16" s="14">
        <f t="shared" si="4"/>
        <v>55</v>
      </c>
      <c r="R16" s="14">
        <f t="shared" si="5"/>
        <v>60</v>
      </c>
      <c r="S16" s="14">
        <f t="shared" si="6"/>
        <v>50</v>
      </c>
      <c r="T16" s="14">
        <f t="shared" si="7"/>
        <v>40</v>
      </c>
      <c r="U16" s="14">
        <f t="shared" si="8"/>
        <v>55</v>
      </c>
      <c r="V16" s="13" t="str">
        <f t="shared" si="9"/>
        <v>Partial</v>
      </c>
      <c r="W16" s="13" t="str">
        <f t="shared" si="10"/>
        <v>MISSION PROTECTED: Response held for more evidence; Try New Mission.</v>
      </c>
      <c r="X16" s="13" t="str">
        <f t="shared" si="11"/>
        <v>MISSION DELAYED; trust 35. The crew pauses the decision while battery reserves continue to fall.</v>
      </c>
      <c r="Y16" s="13" t="str">
        <f t="shared" si="12"/>
        <v>Partial answer | Retrieval 50% | Ranking 55% | Grounding 60% | Citation 50% | Hallucination Risk 40% | Trust 55%</v>
      </c>
      <c r="Z16" s="15"/>
      <c r="AA16" s="16" t="s">
        <v>23</v>
      </c>
      <c r="AB16" s="17"/>
    </row>
    <row r="17" spans="1:28" ht="78" customHeight="1">
      <c r="A17" s="12" t="s">
        <v>211</v>
      </c>
      <c r="B17" s="12" t="s">
        <v>93</v>
      </c>
      <c r="C17" s="12" t="s">
        <v>94</v>
      </c>
      <c r="D17" s="12" t="s">
        <v>95</v>
      </c>
      <c r="E17" s="12" t="s">
        <v>195</v>
      </c>
      <c r="F17" s="12" t="s">
        <v>196</v>
      </c>
      <c r="G17" s="12" t="s">
        <v>199</v>
      </c>
      <c r="H17" s="12" t="s">
        <v>200</v>
      </c>
      <c r="I17" s="12" t="s">
        <v>197</v>
      </c>
      <c r="J17" s="12" t="s">
        <v>198</v>
      </c>
      <c r="K17" s="12" t="s">
        <v>193</v>
      </c>
      <c r="L17" s="12" t="s">
        <v>194</v>
      </c>
      <c r="M17" s="13">
        <f t="shared" si="0"/>
        <v>4</v>
      </c>
      <c r="N17" s="13">
        <f t="shared" si="1"/>
        <v>1</v>
      </c>
      <c r="O17" s="13" t="str">
        <f t="shared" si="2"/>
        <v>Partial</v>
      </c>
      <c r="P17" s="14">
        <f t="shared" si="3"/>
        <v>50</v>
      </c>
      <c r="Q17" s="14">
        <f t="shared" si="4"/>
        <v>40</v>
      </c>
      <c r="R17" s="14">
        <f t="shared" si="5"/>
        <v>60</v>
      </c>
      <c r="S17" s="14">
        <f t="shared" si="6"/>
        <v>50</v>
      </c>
      <c r="T17" s="14">
        <f t="shared" si="7"/>
        <v>40</v>
      </c>
      <c r="U17" s="14">
        <f t="shared" si="8"/>
        <v>52</v>
      </c>
      <c r="V17" s="13" t="str">
        <f t="shared" si="9"/>
        <v>Partial</v>
      </c>
      <c r="W17" s="13" t="str">
        <f t="shared" si="10"/>
        <v>MISSION PROTECTED: Response held for more evidence; Try New Mission.</v>
      </c>
      <c r="X17" s="13" t="str">
        <f t="shared" si="11"/>
        <v>MISSION DELAYED; trust 35. The crew pauses the decision while battery reserves continue to fall.</v>
      </c>
      <c r="Y17" s="13" t="str">
        <f t="shared" si="12"/>
        <v>Partial answer | Retrieval 50% | Ranking 40% | Grounding 60% | Citation 50% | Hallucination Risk 40% | Trust 52%</v>
      </c>
      <c r="Z17" s="15"/>
      <c r="AA17" s="16" t="s">
        <v>23</v>
      </c>
      <c r="AB17" s="17"/>
    </row>
    <row r="18" spans="1:28" ht="78" customHeight="1">
      <c r="A18" s="12" t="s">
        <v>212</v>
      </c>
      <c r="B18" s="12" t="s">
        <v>93</v>
      </c>
      <c r="C18" s="12" t="s">
        <v>94</v>
      </c>
      <c r="D18" s="12" t="s">
        <v>95</v>
      </c>
      <c r="E18" s="12" t="s">
        <v>197</v>
      </c>
      <c r="F18" s="12" t="s">
        <v>198</v>
      </c>
      <c r="G18" s="12" t="s">
        <v>193</v>
      </c>
      <c r="H18" s="12" t="s">
        <v>194</v>
      </c>
      <c r="I18" s="12" t="s">
        <v>195</v>
      </c>
      <c r="J18" s="12" t="s">
        <v>196</v>
      </c>
      <c r="K18" s="12" t="s">
        <v>199</v>
      </c>
      <c r="L18" s="12" t="s">
        <v>200</v>
      </c>
      <c r="M18" s="13">
        <f t="shared" si="0"/>
        <v>2</v>
      </c>
      <c r="N18" s="13">
        <f t="shared" si="1"/>
        <v>3</v>
      </c>
      <c r="O18" s="13" t="str">
        <f t="shared" si="2"/>
        <v>Partial</v>
      </c>
      <c r="P18" s="14">
        <f t="shared" si="3"/>
        <v>50</v>
      </c>
      <c r="Q18" s="14">
        <f t="shared" si="4"/>
        <v>70</v>
      </c>
      <c r="R18" s="14">
        <f t="shared" si="5"/>
        <v>60</v>
      </c>
      <c r="S18" s="14">
        <f t="shared" si="6"/>
        <v>50</v>
      </c>
      <c r="T18" s="14">
        <f t="shared" si="7"/>
        <v>40</v>
      </c>
      <c r="U18" s="14">
        <f t="shared" si="8"/>
        <v>58</v>
      </c>
      <c r="V18" s="13" t="str">
        <f t="shared" si="9"/>
        <v>Partial</v>
      </c>
      <c r="W18" s="13" t="str">
        <f t="shared" si="10"/>
        <v>MISSION PROTECTED: Response held for more evidence; Try New Mission.</v>
      </c>
      <c r="X18" s="13" t="str">
        <f t="shared" si="11"/>
        <v>MISSION DELAYED; trust 35. The crew pauses the decision while battery reserves continue to fall.</v>
      </c>
      <c r="Y18" s="13" t="str">
        <f t="shared" si="12"/>
        <v>Partial answer | Retrieval 50% | Ranking 70% | Grounding 60% | Citation 50% | Hallucination Risk 40% | Trust 58%</v>
      </c>
      <c r="Z18" s="15"/>
      <c r="AA18" s="16" t="s">
        <v>23</v>
      </c>
      <c r="AB18" s="17"/>
    </row>
    <row r="19" spans="1:28" ht="78" customHeight="1">
      <c r="A19" s="12" t="s">
        <v>213</v>
      </c>
      <c r="B19" s="12" t="s">
        <v>93</v>
      </c>
      <c r="C19" s="12" t="s">
        <v>94</v>
      </c>
      <c r="D19" s="12" t="s">
        <v>95</v>
      </c>
      <c r="E19" s="12" t="s">
        <v>197</v>
      </c>
      <c r="F19" s="12" t="s">
        <v>198</v>
      </c>
      <c r="G19" s="12" t="s">
        <v>193</v>
      </c>
      <c r="H19" s="12" t="s">
        <v>194</v>
      </c>
      <c r="I19" s="12" t="s">
        <v>199</v>
      </c>
      <c r="J19" s="12" t="s">
        <v>200</v>
      </c>
      <c r="K19" s="12" t="s">
        <v>195</v>
      </c>
      <c r="L19" s="12" t="s">
        <v>196</v>
      </c>
      <c r="M19" s="13">
        <f t="shared" si="0"/>
        <v>2</v>
      </c>
      <c r="N19" s="13">
        <f t="shared" si="1"/>
        <v>4</v>
      </c>
      <c r="O19" s="13" t="str">
        <f t="shared" si="2"/>
        <v>Partial</v>
      </c>
      <c r="P19" s="14">
        <f t="shared" si="3"/>
        <v>50</v>
      </c>
      <c r="Q19" s="14">
        <f t="shared" si="4"/>
        <v>55</v>
      </c>
      <c r="R19" s="14">
        <f t="shared" si="5"/>
        <v>60</v>
      </c>
      <c r="S19" s="14">
        <f t="shared" si="6"/>
        <v>50</v>
      </c>
      <c r="T19" s="14">
        <f t="shared" si="7"/>
        <v>40</v>
      </c>
      <c r="U19" s="14">
        <f t="shared" si="8"/>
        <v>55</v>
      </c>
      <c r="V19" s="13" t="str">
        <f t="shared" si="9"/>
        <v>Partial</v>
      </c>
      <c r="W19" s="13" t="str">
        <f t="shared" si="10"/>
        <v>MISSION PROTECTED: Response held for more evidence; Try New Mission.</v>
      </c>
      <c r="X19" s="13" t="str">
        <f t="shared" si="11"/>
        <v>MISSION DELAYED; trust 35. The crew pauses the decision while battery reserves continue to fall.</v>
      </c>
      <c r="Y19" s="13" t="str">
        <f t="shared" si="12"/>
        <v>Partial answer | Retrieval 50% | Ranking 55% | Grounding 60% | Citation 50% | Hallucination Risk 40% | Trust 55%</v>
      </c>
      <c r="Z19" s="15"/>
      <c r="AA19" s="16" t="s">
        <v>23</v>
      </c>
      <c r="AB19" s="17"/>
    </row>
    <row r="20" spans="1:28" ht="78" customHeight="1">
      <c r="A20" s="12" t="s">
        <v>214</v>
      </c>
      <c r="B20" s="12" t="s">
        <v>93</v>
      </c>
      <c r="C20" s="12" t="s">
        <v>94</v>
      </c>
      <c r="D20" s="12" t="s">
        <v>95</v>
      </c>
      <c r="E20" s="12" t="s">
        <v>197</v>
      </c>
      <c r="F20" s="12" t="s">
        <v>198</v>
      </c>
      <c r="G20" s="12" t="s">
        <v>195</v>
      </c>
      <c r="H20" s="12" t="s">
        <v>196</v>
      </c>
      <c r="I20" s="12" t="s">
        <v>193</v>
      </c>
      <c r="J20" s="12" t="s">
        <v>194</v>
      </c>
      <c r="K20" s="12" t="s">
        <v>199</v>
      </c>
      <c r="L20" s="12" t="s">
        <v>200</v>
      </c>
      <c r="M20" s="13">
        <f t="shared" si="0"/>
        <v>3</v>
      </c>
      <c r="N20" s="13">
        <f t="shared" si="1"/>
        <v>2</v>
      </c>
      <c r="O20" s="13" t="str">
        <f t="shared" si="2"/>
        <v>Partial</v>
      </c>
      <c r="P20" s="14">
        <f t="shared" si="3"/>
        <v>50</v>
      </c>
      <c r="Q20" s="14">
        <f t="shared" si="4"/>
        <v>70</v>
      </c>
      <c r="R20" s="14">
        <f t="shared" si="5"/>
        <v>60</v>
      </c>
      <c r="S20" s="14">
        <f t="shared" si="6"/>
        <v>50</v>
      </c>
      <c r="T20" s="14">
        <f t="shared" si="7"/>
        <v>40</v>
      </c>
      <c r="U20" s="14">
        <f t="shared" si="8"/>
        <v>58</v>
      </c>
      <c r="V20" s="13" t="str">
        <f t="shared" si="9"/>
        <v>Partial</v>
      </c>
      <c r="W20" s="13" t="str">
        <f t="shared" si="10"/>
        <v>MISSION PROTECTED: Response held for more evidence; Try New Mission.</v>
      </c>
      <c r="X20" s="13" t="str">
        <f t="shared" si="11"/>
        <v>MISSION DELAYED; trust 35. The crew pauses the decision while battery reserves continue to fall.</v>
      </c>
      <c r="Y20" s="13" t="str">
        <f t="shared" si="12"/>
        <v>Partial answer | Retrieval 50% | Ranking 70% | Grounding 60% | Citation 50% | Hallucination Risk 40% | Trust 58%</v>
      </c>
      <c r="Z20" s="15"/>
      <c r="AA20" s="16" t="s">
        <v>23</v>
      </c>
      <c r="AB20" s="17"/>
    </row>
    <row r="21" spans="1:28" ht="78" customHeight="1">
      <c r="A21" s="12" t="s">
        <v>215</v>
      </c>
      <c r="B21" s="12" t="s">
        <v>93</v>
      </c>
      <c r="C21" s="12" t="s">
        <v>94</v>
      </c>
      <c r="D21" s="12" t="s">
        <v>95</v>
      </c>
      <c r="E21" s="12" t="s">
        <v>197</v>
      </c>
      <c r="F21" s="12" t="s">
        <v>198</v>
      </c>
      <c r="G21" s="12" t="s">
        <v>195</v>
      </c>
      <c r="H21" s="12" t="s">
        <v>196</v>
      </c>
      <c r="I21" s="12" t="s">
        <v>199</v>
      </c>
      <c r="J21" s="12" t="s">
        <v>200</v>
      </c>
      <c r="K21" s="12" t="s">
        <v>193</v>
      </c>
      <c r="L21" s="12" t="s">
        <v>194</v>
      </c>
      <c r="M21" s="13">
        <f t="shared" si="0"/>
        <v>4</v>
      </c>
      <c r="N21" s="13">
        <f t="shared" si="1"/>
        <v>2</v>
      </c>
      <c r="O21" s="13" t="str">
        <f t="shared" si="2"/>
        <v>Partial</v>
      </c>
      <c r="P21" s="14">
        <f t="shared" si="3"/>
        <v>50</v>
      </c>
      <c r="Q21" s="14">
        <f t="shared" si="4"/>
        <v>55</v>
      </c>
      <c r="R21" s="14">
        <f t="shared" si="5"/>
        <v>60</v>
      </c>
      <c r="S21" s="14">
        <f t="shared" si="6"/>
        <v>50</v>
      </c>
      <c r="T21" s="14">
        <f t="shared" si="7"/>
        <v>40</v>
      </c>
      <c r="U21" s="14">
        <f t="shared" si="8"/>
        <v>55</v>
      </c>
      <c r="V21" s="13" t="str">
        <f t="shared" si="9"/>
        <v>Partial</v>
      </c>
      <c r="W21" s="13" t="str">
        <f t="shared" si="10"/>
        <v>MISSION PROTECTED: Response held for more evidence; Try New Mission.</v>
      </c>
      <c r="X21" s="13" t="str">
        <f t="shared" si="11"/>
        <v>MISSION DELAYED; trust 35. The crew pauses the decision while battery reserves continue to fall.</v>
      </c>
      <c r="Y21" s="13" t="str">
        <f t="shared" si="12"/>
        <v>Partial answer | Retrieval 50% | Ranking 55% | Grounding 60% | Citation 50% | Hallucination Risk 40% | Trust 55%</v>
      </c>
      <c r="Z21" s="15"/>
      <c r="AA21" s="16" t="s">
        <v>23</v>
      </c>
      <c r="AB21" s="17"/>
    </row>
    <row r="22" spans="1:28" ht="78" customHeight="1">
      <c r="A22" s="12" t="s">
        <v>216</v>
      </c>
      <c r="B22" s="12" t="s">
        <v>93</v>
      </c>
      <c r="C22" s="12" t="s">
        <v>94</v>
      </c>
      <c r="D22" s="12" t="s">
        <v>95</v>
      </c>
      <c r="E22" s="12" t="s">
        <v>197</v>
      </c>
      <c r="F22" s="12" t="s">
        <v>198</v>
      </c>
      <c r="G22" s="12" t="s">
        <v>199</v>
      </c>
      <c r="H22" s="12" t="s">
        <v>200</v>
      </c>
      <c r="I22" s="12" t="s">
        <v>193</v>
      </c>
      <c r="J22" s="12" t="s">
        <v>194</v>
      </c>
      <c r="K22" s="12" t="s">
        <v>195</v>
      </c>
      <c r="L22" s="12" t="s">
        <v>196</v>
      </c>
      <c r="M22" s="13">
        <f t="shared" si="0"/>
        <v>3</v>
      </c>
      <c r="N22" s="13">
        <f t="shared" si="1"/>
        <v>4</v>
      </c>
      <c r="O22" s="13" t="str">
        <f t="shared" si="2"/>
        <v>Risky</v>
      </c>
      <c r="P22" s="14">
        <f t="shared" si="3"/>
        <v>0</v>
      </c>
      <c r="Q22" s="14">
        <f t="shared" si="4"/>
        <v>40</v>
      </c>
      <c r="R22" s="14">
        <f t="shared" si="5"/>
        <v>10</v>
      </c>
      <c r="S22" s="14">
        <f t="shared" si="6"/>
        <v>0</v>
      </c>
      <c r="T22" s="14">
        <f t="shared" si="7"/>
        <v>90</v>
      </c>
      <c r="U22" s="14">
        <f t="shared" si="8"/>
        <v>12</v>
      </c>
      <c r="V22" s="13" t="str">
        <f t="shared" si="9"/>
        <v>Risky</v>
      </c>
      <c r="W22" s="13" t="str">
        <f t="shared" si="10"/>
        <v>RISK BLOCKED: Unsupported action prevented; Try New Mission.</v>
      </c>
      <c r="X22" s="13" t="str">
        <f t="shared" si="11"/>
        <v>GAME OVER; trust 5. The shield overloads the low-battery system and causes a shipwide power emergency.</v>
      </c>
      <c r="Y22" s="13" t="str">
        <f t="shared" si="12"/>
        <v>Risky answer | Retrieval 0% | Ranking 40% | Grounding 10% | Citation 0% | Hallucination Risk 90% | Trust 12%</v>
      </c>
      <c r="Z22" s="15"/>
      <c r="AA22" s="16" t="s">
        <v>23</v>
      </c>
      <c r="AB22" s="17"/>
    </row>
    <row r="23" spans="1:28" ht="78" customHeight="1">
      <c r="A23" s="12" t="s">
        <v>217</v>
      </c>
      <c r="B23" s="12" t="s">
        <v>93</v>
      </c>
      <c r="C23" s="12" t="s">
        <v>94</v>
      </c>
      <c r="D23" s="12" t="s">
        <v>95</v>
      </c>
      <c r="E23" s="12" t="s">
        <v>197</v>
      </c>
      <c r="F23" s="12" t="s">
        <v>198</v>
      </c>
      <c r="G23" s="12" t="s">
        <v>199</v>
      </c>
      <c r="H23" s="12" t="s">
        <v>200</v>
      </c>
      <c r="I23" s="12" t="s">
        <v>195</v>
      </c>
      <c r="J23" s="12" t="s">
        <v>196</v>
      </c>
      <c r="K23" s="12" t="s">
        <v>193</v>
      </c>
      <c r="L23" s="12" t="s">
        <v>194</v>
      </c>
      <c r="M23" s="13">
        <f t="shared" si="0"/>
        <v>4</v>
      </c>
      <c r="N23" s="13">
        <f t="shared" si="1"/>
        <v>3</v>
      </c>
      <c r="O23" s="13" t="str">
        <f t="shared" si="2"/>
        <v>Risky</v>
      </c>
      <c r="P23" s="14">
        <f t="shared" si="3"/>
        <v>0</v>
      </c>
      <c r="Q23" s="14">
        <f t="shared" si="4"/>
        <v>40</v>
      </c>
      <c r="R23" s="14">
        <f t="shared" si="5"/>
        <v>10</v>
      </c>
      <c r="S23" s="14">
        <f t="shared" si="6"/>
        <v>0</v>
      </c>
      <c r="T23" s="14">
        <f t="shared" si="7"/>
        <v>90</v>
      </c>
      <c r="U23" s="14">
        <f t="shared" si="8"/>
        <v>12</v>
      </c>
      <c r="V23" s="13" t="str">
        <f t="shared" si="9"/>
        <v>Risky</v>
      </c>
      <c r="W23" s="13" t="str">
        <f t="shared" si="10"/>
        <v>RISK BLOCKED: Unsupported action prevented; Try New Mission.</v>
      </c>
      <c r="X23" s="13" t="str">
        <f t="shared" si="11"/>
        <v>GAME OVER; trust 5. The shield overloads the low-battery system and causes a shipwide power emergency.</v>
      </c>
      <c r="Y23" s="13" t="str">
        <f t="shared" si="12"/>
        <v>Risky answer | Retrieval 0% | Ranking 40% | Grounding 10% | Citation 0% | Hallucination Risk 90% | Trust 12%</v>
      </c>
      <c r="Z23" s="15"/>
      <c r="AA23" s="16" t="s">
        <v>23</v>
      </c>
      <c r="AB23" s="17"/>
    </row>
    <row r="24" spans="1:28" ht="78" customHeight="1">
      <c r="A24" s="12" t="s">
        <v>218</v>
      </c>
      <c r="B24" s="12" t="s">
        <v>93</v>
      </c>
      <c r="C24" s="12" t="s">
        <v>94</v>
      </c>
      <c r="D24" s="12" t="s">
        <v>95</v>
      </c>
      <c r="E24" s="12" t="s">
        <v>199</v>
      </c>
      <c r="F24" s="12" t="s">
        <v>200</v>
      </c>
      <c r="G24" s="12" t="s">
        <v>193</v>
      </c>
      <c r="H24" s="12" t="s">
        <v>194</v>
      </c>
      <c r="I24" s="12" t="s">
        <v>195</v>
      </c>
      <c r="J24" s="12" t="s">
        <v>196</v>
      </c>
      <c r="K24" s="12" t="s">
        <v>197</v>
      </c>
      <c r="L24" s="12" t="s">
        <v>198</v>
      </c>
      <c r="M24" s="13">
        <f t="shared" si="0"/>
        <v>2</v>
      </c>
      <c r="N24" s="13">
        <f t="shared" si="1"/>
        <v>3</v>
      </c>
      <c r="O24" s="13" t="str">
        <f t="shared" si="2"/>
        <v>Partial</v>
      </c>
      <c r="P24" s="14">
        <f t="shared" si="3"/>
        <v>50</v>
      </c>
      <c r="Q24" s="14">
        <f t="shared" si="4"/>
        <v>70</v>
      </c>
      <c r="R24" s="14">
        <f t="shared" si="5"/>
        <v>60</v>
      </c>
      <c r="S24" s="14">
        <f t="shared" si="6"/>
        <v>50</v>
      </c>
      <c r="T24" s="14">
        <f t="shared" si="7"/>
        <v>40</v>
      </c>
      <c r="U24" s="14">
        <f t="shared" si="8"/>
        <v>58</v>
      </c>
      <c r="V24" s="13" t="str">
        <f t="shared" si="9"/>
        <v>Partial</v>
      </c>
      <c r="W24" s="13" t="str">
        <f t="shared" si="10"/>
        <v>MISSION PROTECTED: Response held for more evidence; Try New Mission.</v>
      </c>
      <c r="X24" s="13" t="str">
        <f t="shared" si="11"/>
        <v>MISSION DELAYED; trust 35. The crew pauses the decision while battery reserves continue to fall.</v>
      </c>
      <c r="Y24" s="13" t="str">
        <f t="shared" si="12"/>
        <v>Partial answer | Retrieval 50% | Ranking 70% | Grounding 60% | Citation 50% | Hallucination Risk 40% | Trust 58%</v>
      </c>
      <c r="Z24" s="15"/>
      <c r="AA24" s="16" t="s">
        <v>23</v>
      </c>
      <c r="AB24" s="17"/>
    </row>
    <row r="25" spans="1:28" ht="78" customHeight="1">
      <c r="A25" s="12" t="s">
        <v>219</v>
      </c>
      <c r="B25" s="12" t="s">
        <v>93</v>
      </c>
      <c r="C25" s="12" t="s">
        <v>94</v>
      </c>
      <c r="D25" s="12" t="s">
        <v>95</v>
      </c>
      <c r="E25" s="12" t="s">
        <v>199</v>
      </c>
      <c r="F25" s="12" t="s">
        <v>200</v>
      </c>
      <c r="G25" s="12" t="s">
        <v>193</v>
      </c>
      <c r="H25" s="12" t="s">
        <v>194</v>
      </c>
      <c r="I25" s="12" t="s">
        <v>197</v>
      </c>
      <c r="J25" s="12" t="s">
        <v>198</v>
      </c>
      <c r="K25" s="12" t="s">
        <v>195</v>
      </c>
      <c r="L25" s="12" t="s">
        <v>196</v>
      </c>
      <c r="M25" s="13">
        <f t="shared" si="0"/>
        <v>2</v>
      </c>
      <c r="N25" s="13">
        <f t="shared" si="1"/>
        <v>4</v>
      </c>
      <c r="O25" s="13" t="str">
        <f t="shared" si="2"/>
        <v>Partial</v>
      </c>
      <c r="P25" s="14">
        <f t="shared" si="3"/>
        <v>50</v>
      </c>
      <c r="Q25" s="14">
        <f t="shared" si="4"/>
        <v>55</v>
      </c>
      <c r="R25" s="14">
        <f t="shared" si="5"/>
        <v>60</v>
      </c>
      <c r="S25" s="14">
        <f t="shared" si="6"/>
        <v>50</v>
      </c>
      <c r="T25" s="14">
        <f t="shared" si="7"/>
        <v>40</v>
      </c>
      <c r="U25" s="14">
        <f t="shared" si="8"/>
        <v>55</v>
      </c>
      <c r="V25" s="13" t="str">
        <f t="shared" si="9"/>
        <v>Partial</v>
      </c>
      <c r="W25" s="13" t="str">
        <f t="shared" si="10"/>
        <v>MISSION PROTECTED: Response held for more evidence; Try New Mission.</v>
      </c>
      <c r="X25" s="13" t="str">
        <f t="shared" si="11"/>
        <v>MISSION DELAYED; trust 35. The crew pauses the decision while battery reserves continue to fall.</v>
      </c>
      <c r="Y25" s="13" t="str">
        <f t="shared" si="12"/>
        <v>Partial answer | Retrieval 50% | Ranking 55% | Grounding 60% | Citation 50% | Hallucination Risk 40% | Trust 55%</v>
      </c>
      <c r="Z25" s="15"/>
      <c r="AA25" s="16" t="s">
        <v>23</v>
      </c>
      <c r="AB25" s="17"/>
    </row>
    <row r="26" spans="1:28" ht="78" customHeight="1">
      <c r="A26" s="12" t="s">
        <v>220</v>
      </c>
      <c r="B26" s="12" t="s">
        <v>93</v>
      </c>
      <c r="C26" s="12" t="s">
        <v>94</v>
      </c>
      <c r="D26" s="12" t="s">
        <v>95</v>
      </c>
      <c r="E26" s="12" t="s">
        <v>199</v>
      </c>
      <c r="F26" s="12" t="s">
        <v>200</v>
      </c>
      <c r="G26" s="12" t="s">
        <v>195</v>
      </c>
      <c r="H26" s="12" t="s">
        <v>196</v>
      </c>
      <c r="I26" s="12" t="s">
        <v>193</v>
      </c>
      <c r="J26" s="12" t="s">
        <v>194</v>
      </c>
      <c r="K26" s="12" t="s">
        <v>197</v>
      </c>
      <c r="L26" s="12" t="s">
        <v>198</v>
      </c>
      <c r="M26" s="13">
        <f t="shared" si="0"/>
        <v>3</v>
      </c>
      <c r="N26" s="13">
        <f t="shared" si="1"/>
        <v>2</v>
      </c>
      <c r="O26" s="13" t="str">
        <f t="shared" si="2"/>
        <v>Partial</v>
      </c>
      <c r="P26" s="14">
        <f t="shared" si="3"/>
        <v>50</v>
      </c>
      <c r="Q26" s="14">
        <f t="shared" si="4"/>
        <v>70</v>
      </c>
      <c r="R26" s="14">
        <f t="shared" si="5"/>
        <v>60</v>
      </c>
      <c r="S26" s="14">
        <f t="shared" si="6"/>
        <v>50</v>
      </c>
      <c r="T26" s="14">
        <f t="shared" si="7"/>
        <v>40</v>
      </c>
      <c r="U26" s="14">
        <f t="shared" si="8"/>
        <v>58</v>
      </c>
      <c r="V26" s="13" t="str">
        <f t="shared" si="9"/>
        <v>Partial</v>
      </c>
      <c r="W26" s="13" t="str">
        <f t="shared" si="10"/>
        <v>MISSION PROTECTED: Response held for more evidence; Try New Mission.</v>
      </c>
      <c r="X26" s="13" t="str">
        <f t="shared" si="11"/>
        <v>MISSION DELAYED; trust 35. The crew pauses the decision while battery reserves continue to fall.</v>
      </c>
      <c r="Y26" s="13" t="str">
        <f t="shared" si="12"/>
        <v>Partial answer | Retrieval 50% | Ranking 70% | Grounding 60% | Citation 50% | Hallucination Risk 40% | Trust 58%</v>
      </c>
      <c r="Z26" s="15"/>
      <c r="AA26" s="16" t="s">
        <v>23</v>
      </c>
      <c r="AB26" s="17"/>
    </row>
    <row r="27" spans="1:28" ht="78" customHeight="1">
      <c r="A27" s="12" t="s">
        <v>221</v>
      </c>
      <c r="B27" s="12" t="s">
        <v>93</v>
      </c>
      <c r="C27" s="12" t="s">
        <v>94</v>
      </c>
      <c r="D27" s="12" t="s">
        <v>95</v>
      </c>
      <c r="E27" s="12" t="s">
        <v>199</v>
      </c>
      <c r="F27" s="12" t="s">
        <v>200</v>
      </c>
      <c r="G27" s="12" t="s">
        <v>195</v>
      </c>
      <c r="H27" s="12" t="s">
        <v>196</v>
      </c>
      <c r="I27" s="12" t="s">
        <v>197</v>
      </c>
      <c r="J27" s="12" t="s">
        <v>198</v>
      </c>
      <c r="K27" s="12" t="s">
        <v>193</v>
      </c>
      <c r="L27" s="12" t="s">
        <v>194</v>
      </c>
      <c r="M27" s="13">
        <f t="shared" si="0"/>
        <v>4</v>
      </c>
      <c r="N27" s="13">
        <f t="shared" si="1"/>
        <v>2</v>
      </c>
      <c r="O27" s="13" t="str">
        <f t="shared" si="2"/>
        <v>Partial</v>
      </c>
      <c r="P27" s="14">
        <f t="shared" si="3"/>
        <v>50</v>
      </c>
      <c r="Q27" s="14">
        <f t="shared" si="4"/>
        <v>55</v>
      </c>
      <c r="R27" s="14">
        <f t="shared" si="5"/>
        <v>60</v>
      </c>
      <c r="S27" s="14">
        <f t="shared" si="6"/>
        <v>50</v>
      </c>
      <c r="T27" s="14">
        <f t="shared" si="7"/>
        <v>40</v>
      </c>
      <c r="U27" s="14">
        <f t="shared" si="8"/>
        <v>55</v>
      </c>
      <c r="V27" s="13" t="str">
        <f t="shared" si="9"/>
        <v>Partial</v>
      </c>
      <c r="W27" s="13" t="str">
        <f t="shared" si="10"/>
        <v>MISSION PROTECTED: Response held for more evidence; Try New Mission.</v>
      </c>
      <c r="X27" s="13" t="str">
        <f t="shared" si="11"/>
        <v>MISSION DELAYED; trust 35. The crew pauses the decision while battery reserves continue to fall.</v>
      </c>
      <c r="Y27" s="13" t="str">
        <f t="shared" si="12"/>
        <v>Partial answer | Retrieval 50% | Ranking 55% | Grounding 60% | Citation 50% | Hallucination Risk 40% | Trust 55%</v>
      </c>
      <c r="Z27" s="15"/>
      <c r="AA27" s="16" t="s">
        <v>23</v>
      </c>
      <c r="AB27" s="17"/>
    </row>
    <row r="28" spans="1:28" ht="78" customHeight="1">
      <c r="A28" s="12" t="s">
        <v>222</v>
      </c>
      <c r="B28" s="12" t="s">
        <v>93</v>
      </c>
      <c r="C28" s="12" t="s">
        <v>94</v>
      </c>
      <c r="D28" s="12" t="s">
        <v>95</v>
      </c>
      <c r="E28" s="12" t="s">
        <v>199</v>
      </c>
      <c r="F28" s="12" t="s">
        <v>200</v>
      </c>
      <c r="G28" s="12" t="s">
        <v>197</v>
      </c>
      <c r="H28" s="12" t="s">
        <v>198</v>
      </c>
      <c r="I28" s="12" t="s">
        <v>193</v>
      </c>
      <c r="J28" s="12" t="s">
        <v>194</v>
      </c>
      <c r="K28" s="12" t="s">
        <v>195</v>
      </c>
      <c r="L28" s="12" t="s">
        <v>196</v>
      </c>
      <c r="M28" s="13">
        <f t="shared" si="0"/>
        <v>3</v>
      </c>
      <c r="N28" s="13">
        <f t="shared" si="1"/>
        <v>4</v>
      </c>
      <c r="O28" s="13" t="str">
        <f t="shared" si="2"/>
        <v>Risky</v>
      </c>
      <c r="P28" s="14">
        <f t="shared" si="3"/>
        <v>0</v>
      </c>
      <c r="Q28" s="14">
        <f t="shared" si="4"/>
        <v>40</v>
      </c>
      <c r="R28" s="14">
        <f t="shared" si="5"/>
        <v>10</v>
      </c>
      <c r="S28" s="14">
        <f t="shared" si="6"/>
        <v>0</v>
      </c>
      <c r="T28" s="14">
        <f t="shared" si="7"/>
        <v>90</v>
      </c>
      <c r="U28" s="14">
        <f t="shared" si="8"/>
        <v>12</v>
      </c>
      <c r="V28" s="13" t="str">
        <f t="shared" si="9"/>
        <v>Risky</v>
      </c>
      <c r="W28" s="13" t="str">
        <f t="shared" si="10"/>
        <v>RISK BLOCKED: Unsupported action prevented; Try New Mission.</v>
      </c>
      <c r="X28" s="13" t="str">
        <f t="shared" si="11"/>
        <v>GAME OVER; trust 5. The shield overloads the low-battery system and causes a shipwide power emergency.</v>
      </c>
      <c r="Y28" s="13" t="str">
        <f t="shared" si="12"/>
        <v>Risky answer | Retrieval 0% | Ranking 40% | Grounding 10% | Citation 0% | Hallucination Risk 90% | Trust 12%</v>
      </c>
      <c r="Z28" s="15"/>
      <c r="AA28" s="16" t="s">
        <v>23</v>
      </c>
      <c r="AB28" s="17"/>
    </row>
    <row r="29" spans="1:28" ht="78" customHeight="1">
      <c r="A29" s="12" t="s">
        <v>223</v>
      </c>
      <c r="B29" s="12" t="s">
        <v>93</v>
      </c>
      <c r="C29" s="12" t="s">
        <v>94</v>
      </c>
      <c r="D29" s="12" t="s">
        <v>95</v>
      </c>
      <c r="E29" s="12" t="s">
        <v>199</v>
      </c>
      <c r="F29" s="12" t="s">
        <v>200</v>
      </c>
      <c r="G29" s="12" t="s">
        <v>197</v>
      </c>
      <c r="H29" s="12" t="s">
        <v>198</v>
      </c>
      <c r="I29" s="12" t="s">
        <v>195</v>
      </c>
      <c r="J29" s="12" t="s">
        <v>196</v>
      </c>
      <c r="K29" s="12" t="s">
        <v>193</v>
      </c>
      <c r="L29" s="12" t="s">
        <v>194</v>
      </c>
      <c r="M29" s="13">
        <f t="shared" si="0"/>
        <v>4</v>
      </c>
      <c r="N29" s="13">
        <f t="shared" si="1"/>
        <v>3</v>
      </c>
      <c r="O29" s="13" t="str">
        <f t="shared" si="2"/>
        <v>Risky</v>
      </c>
      <c r="P29" s="14">
        <f t="shared" si="3"/>
        <v>0</v>
      </c>
      <c r="Q29" s="14">
        <f t="shared" si="4"/>
        <v>40</v>
      </c>
      <c r="R29" s="14">
        <f t="shared" si="5"/>
        <v>10</v>
      </c>
      <c r="S29" s="14">
        <f t="shared" si="6"/>
        <v>0</v>
      </c>
      <c r="T29" s="14">
        <f t="shared" si="7"/>
        <v>90</v>
      </c>
      <c r="U29" s="14">
        <f t="shared" si="8"/>
        <v>12</v>
      </c>
      <c r="V29" s="13" t="str">
        <f t="shared" si="9"/>
        <v>Risky</v>
      </c>
      <c r="W29" s="13" t="str">
        <f t="shared" si="10"/>
        <v>RISK BLOCKED: Unsupported action prevented; Try New Mission.</v>
      </c>
      <c r="X29" s="13" t="str">
        <f t="shared" si="11"/>
        <v>GAME OVER; trust 5. The shield overloads the low-battery system and causes a shipwide power emergency.</v>
      </c>
      <c r="Y29" s="13" t="str">
        <f t="shared" si="12"/>
        <v>Risky answer | Retrieval 0% | Ranking 40% | Grounding 10% | Citation 0% | Hallucination Risk 90% | Trust 12%</v>
      </c>
      <c r="Z29" s="15"/>
      <c r="AA29" s="16" t="s">
        <v>23</v>
      </c>
      <c r="AB29" s="17"/>
    </row>
    <row r="30" spans="1:28" ht="78" customHeight="1">
      <c r="A30" s="12" t="s">
        <v>224</v>
      </c>
      <c r="B30" s="12" t="s">
        <v>108</v>
      </c>
      <c r="C30" s="12" t="s">
        <v>109</v>
      </c>
      <c r="D30" s="12" t="s">
        <v>110</v>
      </c>
      <c r="E30" s="12" t="s">
        <v>193</v>
      </c>
      <c r="F30" s="12" t="s">
        <v>225</v>
      </c>
      <c r="G30" s="12" t="s">
        <v>195</v>
      </c>
      <c r="H30" s="12" t="s">
        <v>226</v>
      </c>
      <c r="I30" s="12" t="s">
        <v>197</v>
      </c>
      <c r="J30" s="12" t="s">
        <v>227</v>
      </c>
      <c r="K30" s="12" t="s">
        <v>199</v>
      </c>
      <c r="L30" s="12" t="s">
        <v>228</v>
      </c>
      <c r="M30" s="13">
        <f t="shared" si="0"/>
        <v>1</v>
      </c>
      <c r="N30" s="13">
        <f t="shared" si="1"/>
        <v>2</v>
      </c>
      <c r="O30" s="13" t="str">
        <f t="shared" si="2"/>
        <v>Grounded</v>
      </c>
      <c r="P30" s="14">
        <f t="shared" si="3"/>
        <v>100</v>
      </c>
      <c r="Q30" s="14">
        <f t="shared" si="4"/>
        <v>100</v>
      </c>
      <c r="R30" s="14">
        <f t="shared" si="5"/>
        <v>100</v>
      </c>
      <c r="S30" s="14">
        <f t="shared" si="6"/>
        <v>100</v>
      </c>
      <c r="T30" s="14">
        <f t="shared" si="7"/>
        <v>0</v>
      </c>
      <c r="U30" s="14">
        <f t="shared" si="8"/>
        <v>100</v>
      </c>
      <c r="V30" s="13" t="str">
        <f t="shared" si="9"/>
        <v>Grounded</v>
      </c>
      <c r="W30" s="13" t="str">
        <f t="shared" ref="W30:W53" si="13">IF(O30="Grounded","MISSION SUCCESS: The cargo bay remains sealed until the ship stops, preventing decompression and equipment loss.",IF(O30="Partial","MISSION PROTECTED: Response held for more evidence; Try New Mission.","RISK BLOCKED: Unsupported action prevented; Try New Mission."))</f>
        <v>MISSION SUCCESS: The cargo bay remains sealed until the ship stops, preventing decompression and equipment loss.</v>
      </c>
      <c r="X30" s="13" t="str">
        <f t="shared" ref="X30:X53" si="14">IF(O30="Grounded","MISSION SUCCESS + PROCESS WARNING; trust 70. The cargo bay remains sealed until the ship stops, preventing decompression and equipment loss.",IF(O30="Partial","MISSION DELAYED; trust 35. The crew pauses the cargo operation while confirming the ship-speed requirement.","GAME OVER; trust 5. The cargo bay opens at cruise speed, causing rapid decompression and the loss of critical equipment."))</f>
        <v>MISSION SUCCESS + PROCESS WARNING; trust 70. The cargo bay remains sealed until the ship stops, preventing decompression and equipment loss.</v>
      </c>
      <c r="Y30" s="13" t="str">
        <f t="shared" si="12"/>
        <v>Grounded answer | Retrieval 100% | Ranking 100% | Grounding 100% | Citation 100% | Hallucination Risk 0% | Trust 100%</v>
      </c>
      <c r="Z30" s="15"/>
      <c r="AA30" s="16" t="s">
        <v>23</v>
      </c>
      <c r="AB30" s="17"/>
    </row>
    <row r="31" spans="1:28" ht="78" customHeight="1">
      <c r="A31" s="12" t="s">
        <v>229</v>
      </c>
      <c r="B31" s="12" t="s">
        <v>108</v>
      </c>
      <c r="C31" s="12" t="s">
        <v>109</v>
      </c>
      <c r="D31" s="12" t="s">
        <v>110</v>
      </c>
      <c r="E31" s="12" t="s">
        <v>193</v>
      </c>
      <c r="F31" s="12" t="s">
        <v>225</v>
      </c>
      <c r="G31" s="12" t="s">
        <v>195</v>
      </c>
      <c r="H31" s="12" t="s">
        <v>226</v>
      </c>
      <c r="I31" s="12" t="s">
        <v>199</v>
      </c>
      <c r="J31" s="12" t="s">
        <v>228</v>
      </c>
      <c r="K31" s="12" t="s">
        <v>197</v>
      </c>
      <c r="L31" s="12" t="s">
        <v>227</v>
      </c>
      <c r="M31" s="13">
        <f t="shared" si="0"/>
        <v>1</v>
      </c>
      <c r="N31" s="13">
        <f t="shared" si="1"/>
        <v>2</v>
      </c>
      <c r="O31" s="13" t="str">
        <f t="shared" si="2"/>
        <v>Grounded</v>
      </c>
      <c r="P31" s="14">
        <f t="shared" si="3"/>
        <v>100</v>
      </c>
      <c r="Q31" s="14">
        <f t="shared" si="4"/>
        <v>100</v>
      </c>
      <c r="R31" s="14">
        <f t="shared" si="5"/>
        <v>100</v>
      </c>
      <c r="S31" s="14">
        <f t="shared" si="6"/>
        <v>100</v>
      </c>
      <c r="T31" s="14">
        <f t="shared" si="7"/>
        <v>0</v>
      </c>
      <c r="U31" s="14">
        <f t="shared" si="8"/>
        <v>100</v>
      </c>
      <c r="V31" s="13" t="str">
        <f t="shared" si="9"/>
        <v>Grounded</v>
      </c>
      <c r="W31" s="13" t="str">
        <f t="shared" si="13"/>
        <v>MISSION SUCCESS: The cargo bay remains sealed until the ship stops, preventing decompression and equipment loss.</v>
      </c>
      <c r="X31" s="13" t="str">
        <f t="shared" si="14"/>
        <v>MISSION SUCCESS + PROCESS WARNING; trust 70. The cargo bay remains sealed until the ship stops, preventing decompression and equipment loss.</v>
      </c>
      <c r="Y31" s="13" t="str">
        <f t="shared" si="12"/>
        <v>Grounded answer | Retrieval 100% | Ranking 100% | Grounding 100% | Citation 100% | Hallucination Risk 0% | Trust 100%</v>
      </c>
      <c r="Z31" s="15"/>
      <c r="AA31" s="16" t="s">
        <v>23</v>
      </c>
      <c r="AB31" s="17"/>
    </row>
    <row r="32" spans="1:28" ht="78" customHeight="1">
      <c r="A32" s="12" t="s">
        <v>230</v>
      </c>
      <c r="B32" s="12" t="s">
        <v>108</v>
      </c>
      <c r="C32" s="12" t="s">
        <v>109</v>
      </c>
      <c r="D32" s="12" t="s">
        <v>110</v>
      </c>
      <c r="E32" s="12" t="s">
        <v>193</v>
      </c>
      <c r="F32" s="12" t="s">
        <v>225</v>
      </c>
      <c r="G32" s="12" t="s">
        <v>197</v>
      </c>
      <c r="H32" s="12" t="s">
        <v>227</v>
      </c>
      <c r="I32" s="12" t="s">
        <v>195</v>
      </c>
      <c r="J32" s="12" t="s">
        <v>226</v>
      </c>
      <c r="K32" s="12" t="s">
        <v>199</v>
      </c>
      <c r="L32" s="12" t="s">
        <v>228</v>
      </c>
      <c r="M32" s="13">
        <f t="shared" si="0"/>
        <v>1</v>
      </c>
      <c r="N32" s="13">
        <f t="shared" si="1"/>
        <v>3</v>
      </c>
      <c r="O32" s="13" t="str">
        <f t="shared" si="2"/>
        <v>Partial</v>
      </c>
      <c r="P32" s="14">
        <f t="shared" si="3"/>
        <v>50</v>
      </c>
      <c r="Q32" s="14">
        <f t="shared" si="4"/>
        <v>85</v>
      </c>
      <c r="R32" s="14">
        <f t="shared" si="5"/>
        <v>60</v>
      </c>
      <c r="S32" s="14">
        <f t="shared" si="6"/>
        <v>50</v>
      </c>
      <c r="T32" s="14">
        <f t="shared" si="7"/>
        <v>40</v>
      </c>
      <c r="U32" s="14">
        <f t="shared" si="8"/>
        <v>61</v>
      </c>
      <c r="V32" s="13" t="str">
        <f t="shared" si="9"/>
        <v>Partial</v>
      </c>
      <c r="W32" s="13" t="str">
        <f t="shared" si="13"/>
        <v>MISSION PROTECTED: Response held for more evidence; Try New Mission.</v>
      </c>
      <c r="X32" s="13" t="str">
        <f t="shared" si="14"/>
        <v>MISSION DELAYED; trust 35. The crew pauses the cargo operation while confirming the ship-speed requirement.</v>
      </c>
      <c r="Y32" s="13" t="str">
        <f t="shared" si="12"/>
        <v>Partial answer | Retrieval 50% | Ranking 85% | Grounding 60% | Citation 50% | Hallucination Risk 40% | Trust 61%</v>
      </c>
      <c r="Z32" s="15"/>
      <c r="AA32" s="16" t="s">
        <v>23</v>
      </c>
      <c r="AB32" s="17"/>
    </row>
    <row r="33" spans="1:28" ht="78" customHeight="1">
      <c r="A33" s="12" t="s">
        <v>231</v>
      </c>
      <c r="B33" s="12" t="s">
        <v>108</v>
      </c>
      <c r="C33" s="12" t="s">
        <v>109</v>
      </c>
      <c r="D33" s="12" t="s">
        <v>110</v>
      </c>
      <c r="E33" s="12" t="s">
        <v>193</v>
      </c>
      <c r="F33" s="12" t="s">
        <v>225</v>
      </c>
      <c r="G33" s="12" t="s">
        <v>197</v>
      </c>
      <c r="H33" s="12" t="s">
        <v>227</v>
      </c>
      <c r="I33" s="12" t="s">
        <v>199</v>
      </c>
      <c r="J33" s="12" t="s">
        <v>228</v>
      </c>
      <c r="K33" s="12" t="s">
        <v>195</v>
      </c>
      <c r="L33" s="12" t="s">
        <v>226</v>
      </c>
      <c r="M33" s="13">
        <f t="shared" si="0"/>
        <v>1</v>
      </c>
      <c r="N33" s="13">
        <f t="shared" si="1"/>
        <v>4</v>
      </c>
      <c r="O33" s="13" t="str">
        <f t="shared" si="2"/>
        <v>Partial</v>
      </c>
      <c r="P33" s="14">
        <f t="shared" si="3"/>
        <v>50</v>
      </c>
      <c r="Q33" s="14">
        <f t="shared" si="4"/>
        <v>70</v>
      </c>
      <c r="R33" s="14">
        <f t="shared" si="5"/>
        <v>60</v>
      </c>
      <c r="S33" s="14">
        <f t="shared" si="6"/>
        <v>50</v>
      </c>
      <c r="T33" s="14">
        <f t="shared" si="7"/>
        <v>40</v>
      </c>
      <c r="U33" s="14">
        <f t="shared" si="8"/>
        <v>58</v>
      </c>
      <c r="V33" s="13" t="str">
        <f t="shared" si="9"/>
        <v>Partial</v>
      </c>
      <c r="W33" s="13" t="str">
        <f t="shared" si="13"/>
        <v>MISSION PROTECTED: Response held for more evidence; Try New Mission.</v>
      </c>
      <c r="X33" s="13" t="str">
        <f t="shared" si="14"/>
        <v>MISSION DELAYED; trust 35. The crew pauses the cargo operation while confirming the ship-speed requirement.</v>
      </c>
      <c r="Y33" s="13" t="str">
        <f t="shared" si="12"/>
        <v>Partial answer | Retrieval 50% | Ranking 70% | Grounding 60% | Citation 50% | Hallucination Risk 40% | Trust 58%</v>
      </c>
      <c r="Z33" s="15"/>
      <c r="AA33" s="16" t="s">
        <v>23</v>
      </c>
      <c r="AB33" s="17"/>
    </row>
    <row r="34" spans="1:28" ht="78" customHeight="1">
      <c r="A34" s="12" t="s">
        <v>232</v>
      </c>
      <c r="B34" s="12" t="s">
        <v>108</v>
      </c>
      <c r="C34" s="12" t="s">
        <v>109</v>
      </c>
      <c r="D34" s="12" t="s">
        <v>110</v>
      </c>
      <c r="E34" s="12" t="s">
        <v>193</v>
      </c>
      <c r="F34" s="12" t="s">
        <v>225</v>
      </c>
      <c r="G34" s="12" t="s">
        <v>199</v>
      </c>
      <c r="H34" s="12" t="s">
        <v>228</v>
      </c>
      <c r="I34" s="12" t="s">
        <v>195</v>
      </c>
      <c r="J34" s="12" t="s">
        <v>226</v>
      </c>
      <c r="K34" s="12" t="s">
        <v>197</v>
      </c>
      <c r="L34" s="12" t="s">
        <v>227</v>
      </c>
      <c r="M34" s="13">
        <f t="shared" si="0"/>
        <v>1</v>
      </c>
      <c r="N34" s="13">
        <f t="shared" si="1"/>
        <v>3</v>
      </c>
      <c r="O34" s="13" t="str">
        <f t="shared" si="2"/>
        <v>Partial</v>
      </c>
      <c r="P34" s="14">
        <f t="shared" si="3"/>
        <v>50</v>
      </c>
      <c r="Q34" s="14">
        <f t="shared" si="4"/>
        <v>85</v>
      </c>
      <c r="R34" s="14">
        <f t="shared" si="5"/>
        <v>60</v>
      </c>
      <c r="S34" s="14">
        <f t="shared" si="6"/>
        <v>50</v>
      </c>
      <c r="T34" s="14">
        <f t="shared" si="7"/>
        <v>40</v>
      </c>
      <c r="U34" s="14">
        <f t="shared" si="8"/>
        <v>61</v>
      </c>
      <c r="V34" s="13" t="str">
        <f t="shared" si="9"/>
        <v>Partial</v>
      </c>
      <c r="W34" s="13" t="str">
        <f t="shared" si="13"/>
        <v>MISSION PROTECTED: Response held for more evidence; Try New Mission.</v>
      </c>
      <c r="X34" s="13" t="str">
        <f t="shared" si="14"/>
        <v>MISSION DELAYED; trust 35. The crew pauses the cargo operation while confirming the ship-speed requirement.</v>
      </c>
      <c r="Y34" s="13" t="str">
        <f t="shared" si="12"/>
        <v>Partial answer | Retrieval 50% | Ranking 85% | Grounding 60% | Citation 50% | Hallucination Risk 40% | Trust 61%</v>
      </c>
      <c r="Z34" s="15"/>
      <c r="AA34" s="16" t="s">
        <v>23</v>
      </c>
      <c r="AB34" s="17"/>
    </row>
    <row r="35" spans="1:28" ht="78" customHeight="1">
      <c r="A35" s="12" t="s">
        <v>233</v>
      </c>
      <c r="B35" s="12" t="s">
        <v>108</v>
      </c>
      <c r="C35" s="12" t="s">
        <v>109</v>
      </c>
      <c r="D35" s="12" t="s">
        <v>110</v>
      </c>
      <c r="E35" s="12" t="s">
        <v>193</v>
      </c>
      <c r="F35" s="12" t="s">
        <v>225</v>
      </c>
      <c r="G35" s="12" t="s">
        <v>199</v>
      </c>
      <c r="H35" s="12" t="s">
        <v>228</v>
      </c>
      <c r="I35" s="12" t="s">
        <v>197</v>
      </c>
      <c r="J35" s="12" t="s">
        <v>227</v>
      </c>
      <c r="K35" s="12" t="s">
        <v>195</v>
      </c>
      <c r="L35" s="12" t="s">
        <v>226</v>
      </c>
      <c r="M35" s="13">
        <f t="shared" si="0"/>
        <v>1</v>
      </c>
      <c r="N35" s="13">
        <f t="shared" si="1"/>
        <v>4</v>
      </c>
      <c r="O35" s="13" t="str">
        <f t="shared" si="2"/>
        <v>Partial</v>
      </c>
      <c r="P35" s="14">
        <f t="shared" si="3"/>
        <v>50</v>
      </c>
      <c r="Q35" s="14">
        <f t="shared" si="4"/>
        <v>70</v>
      </c>
      <c r="R35" s="14">
        <f t="shared" si="5"/>
        <v>60</v>
      </c>
      <c r="S35" s="14">
        <f t="shared" si="6"/>
        <v>50</v>
      </c>
      <c r="T35" s="14">
        <f t="shared" si="7"/>
        <v>40</v>
      </c>
      <c r="U35" s="14">
        <f t="shared" si="8"/>
        <v>58</v>
      </c>
      <c r="V35" s="13" t="str">
        <f t="shared" si="9"/>
        <v>Partial</v>
      </c>
      <c r="W35" s="13" t="str">
        <f t="shared" si="13"/>
        <v>MISSION PROTECTED: Response held for more evidence; Try New Mission.</v>
      </c>
      <c r="X35" s="13" t="str">
        <f t="shared" si="14"/>
        <v>MISSION DELAYED; trust 35. The crew pauses the cargo operation while confirming the ship-speed requirement.</v>
      </c>
      <c r="Y35" s="13" t="str">
        <f t="shared" si="12"/>
        <v>Partial answer | Retrieval 50% | Ranking 70% | Grounding 60% | Citation 50% | Hallucination Risk 40% | Trust 58%</v>
      </c>
      <c r="Z35" s="15"/>
      <c r="AA35" s="16" t="s">
        <v>23</v>
      </c>
      <c r="AB35" s="17"/>
    </row>
    <row r="36" spans="1:28" ht="78" customHeight="1">
      <c r="A36" s="12" t="s">
        <v>234</v>
      </c>
      <c r="B36" s="12" t="s">
        <v>108</v>
      </c>
      <c r="C36" s="12" t="s">
        <v>109</v>
      </c>
      <c r="D36" s="12" t="s">
        <v>110</v>
      </c>
      <c r="E36" s="12" t="s">
        <v>195</v>
      </c>
      <c r="F36" s="12" t="s">
        <v>226</v>
      </c>
      <c r="G36" s="12" t="s">
        <v>193</v>
      </c>
      <c r="H36" s="12" t="s">
        <v>225</v>
      </c>
      <c r="I36" s="12" t="s">
        <v>197</v>
      </c>
      <c r="J36" s="12" t="s">
        <v>227</v>
      </c>
      <c r="K36" s="12" t="s">
        <v>199</v>
      </c>
      <c r="L36" s="12" t="s">
        <v>228</v>
      </c>
      <c r="M36" s="13">
        <f t="shared" si="0"/>
        <v>2</v>
      </c>
      <c r="N36" s="13">
        <f t="shared" si="1"/>
        <v>1</v>
      </c>
      <c r="O36" s="13" t="str">
        <f t="shared" si="2"/>
        <v>Grounded</v>
      </c>
      <c r="P36" s="14">
        <f t="shared" si="3"/>
        <v>100</v>
      </c>
      <c r="Q36" s="14">
        <f t="shared" si="4"/>
        <v>70</v>
      </c>
      <c r="R36" s="14">
        <f t="shared" si="5"/>
        <v>100</v>
      </c>
      <c r="S36" s="14">
        <f t="shared" si="6"/>
        <v>100</v>
      </c>
      <c r="T36" s="14">
        <f t="shared" si="7"/>
        <v>0</v>
      </c>
      <c r="U36" s="14">
        <f t="shared" si="8"/>
        <v>94</v>
      </c>
      <c r="V36" s="13" t="str">
        <f t="shared" si="9"/>
        <v>Grounded</v>
      </c>
      <c r="W36" s="13" t="str">
        <f t="shared" si="13"/>
        <v>MISSION SUCCESS: The cargo bay remains sealed until the ship stops, preventing decompression and equipment loss.</v>
      </c>
      <c r="X36" s="13" t="str">
        <f t="shared" si="14"/>
        <v>MISSION SUCCESS + PROCESS WARNING; trust 70. The cargo bay remains sealed until the ship stops, preventing decompression and equipment loss.</v>
      </c>
      <c r="Y36" s="13" t="str">
        <f t="shared" si="12"/>
        <v>Grounded answer | Retrieval 100% | Ranking 70% | Grounding 100% | Citation 100% | Hallucination Risk 0% | Trust 94%</v>
      </c>
      <c r="Z36" s="15"/>
      <c r="AA36" s="16" t="s">
        <v>23</v>
      </c>
      <c r="AB36" s="17"/>
    </row>
    <row r="37" spans="1:28" ht="78" customHeight="1">
      <c r="A37" s="12" t="s">
        <v>235</v>
      </c>
      <c r="B37" s="12" t="s">
        <v>108</v>
      </c>
      <c r="C37" s="12" t="s">
        <v>109</v>
      </c>
      <c r="D37" s="12" t="s">
        <v>110</v>
      </c>
      <c r="E37" s="12" t="s">
        <v>195</v>
      </c>
      <c r="F37" s="12" t="s">
        <v>226</v>
      </c>
      <c r="G37" s="12" t="s">
        <v>193</v>
      </c>
      <c r="H37" s="12" t="s">
        <v>225</v>
      </c>
      <c r="I37" s="12" t="s">
        <v>199</v>
      </c>
      <c r="J37" s="12" t="s">
        <v>228</v>
      </c>
      <c r="K37" s="12" t="s">
        <v>197</v>
      </c>
      <c r="L37" s="12" t="s">
        <v>227</v>
      </c>
      <c r="M37" s="13">
        <f t="shared" si="0"/>
        <v>2</v>
      </c>
      <c r="N37" s="13">
        <f t="shared" si="1"/>
        <v>1</v>
      </c>
      <c r="O37" s="13" t="str">
        <f t="shared" si="2"/>
        <v>Grounded</v>
      </c>
      <c r="P37" s="14">
        <f t="shared" si="3"/>
        <v>100</v>
      </c>
      <c r="Q37" s="14">
        <f t="shared" si="4"/>
        <v>70</v>
      </c>
      <c r="R37" s="14">
        <f t="shared" si="5"/>
        <v>100</v>
      </c>
      <c r="S37" s="14">
        <f t="shared" si="6"/>
        <v>100</v>
      </c>
      <c r="T37" s="14">
        <f t="shared" si="7"/>
        <v>0</v>
      </c>
      <c r="U37" s="14">
        <f t="shared" si="8"/>
        <v>94</v>
      </c>
      <c r="V37" s="13" t="str">
        <f t="shared" si="9"/>
        <v>Grounded</v>
      </c>
      <c r="W37" s="13" t="str">
        <f t="shared" si="13"/>
        <v>MISSION SUCCESS: The cargo bay remains sealed until the ship stops, preventing decompression and equipment loss.</v>
      </c>
      <c r="X37" s="13" t="str">
        <f t="shared" si="14"/>
        <v>MISSION SUCCESS + PROCESS WARNING; trust 70. The cargo bay remains sealed until the ship stops, preventing decompression and equipment loss.</v>
      </c>
      <c r="Y37" s="13" t="str">
        <f t="shared" si="12"/>
        <v>Grounded answer | Retrieval 100% | Ranking 70% | Grounding 100% | Citation 100% | Hallucination Risk 0% | Trust 94%</v>
      </c>
      <c r="Z37" s="15"/>
      <c r="AA37" s="16" t="s">
        <v>23</v>
      </c>
      <c r="AB37" s="17"/>
    </row>
    <row r="38" spans="1:28" ht="78" customHeight="1">
      <c r="A38" s="12" t="s">
        <v>236</v>
      </c>
      <c r="B38" s="12" t="s">
        <v>108</v>
      </c>
      <c r="C38" s="12" t="s">
        <v>109</v>
      </c>
      <c r="D38" s="12" t="s">
        <v>110</v>
      </c>
      <c r="E38" s="12" t="s">
        <v>195</v>
      </c>
      <c r="F38" s="12" t="s">
        <v>226</v>
      </c>
      <c r="G38" s="12" t="s">
        <v>197</v>
      </c>
      <c r="H38" s="12" t="s">
        <v>227</v>
      </c>
      <c r="I38" s="12" t="s">
        <v>193</v>
      </c>
      <c r="J38" s="12" t="s">
        <v>225</v>
      </c>
      <c r="K38" s="12" t="s">
        <v>199</v>
      </c>
      <c r="L38" s="12" t="s">
        <v>228</v>
      </c>
      <c r="M38" s="13">
        <f t="shared" ref="M38:M69" si="15">IF(E38="K1",1,IF(G38="K1",2,IF(I38="K1",3,4)))</f>
        <v>3</v>
      </c>
      <c r="N38" s="13">
        <f t="shared" ref="N38:N69" si="16">IF(E38="K2",1,IF(G38="K2",2,IF(I38="K2",3,4)))</f>
        <v>1</v>
      </c>
      <c r="O38" s="13" t="str">
        <f t="shared" ref="O38:O69" si="17">IF(AND(M38&lt;=2,N38&lt;=2),"Grounded",IF(OR(M38&lt;=2,N38&lt;=2),"Partial","Risky"))</f>
        <v>Partial</v>
      </c>
      <c r="P38" s="14">
        <f t="shared" ref="P38:P69" si="18">IF(O38="Grounded",100,IF(O38="Partial",50,0))</f>
        <v>50</v>
      </c>
      <c r="Q38" s="14">
        <f t="shared" ref="Q38:Q69" si="19">MAX(0,50-ABS(M38-1)*15)+MAX(0,50-ABS(N38-2)*15)</f>
        <v>55</v>
      </c>
      <c r="R38" s="14">
        <f t="shared" ref="R38:R69" si="20">IF(O38="Grounded",100,IF(O38="Partial",60,10))</f>
        <v>60</v>
      </c>
      <c r="S38" s="14">
        <f t="shared" ref="S38:S69" si="21">IF(O38="Grounded",100,IF(O38="Partial",50,0))</f>
        <v>50</v>
      </c>
      <c r="T38" s="14">
        <f t="shared" ref="T38:T69" si="22">IF(O38="Grounded",0,IF(O38="Partial",40,90))</f>
        <v>40</v>
      </c>
      <c r="U38" s="14">
        <f t="shared" ref="U38:U69" si="23">ROUND((P38+Q38+R38+S38+(100-T38))/5,0)</f>
        <v>55</v>
      </c>
      <c r="V38" s="13" t="str">
        <f t="shared" ref="V38:V69" si="24">O38</f>
        <v>Partial</v>
      </c>
      <c r="W38" s="13" t="str">
        <f t="shared" si="13"/>
        <v>MISSION PROTECTED: Response held for more evidence; Try New Mission.</v>
      </c>
      <c r="X38" s="13" t="str">
        <f t="shared" si="14"/>
        <v>MISSION DELAYED; trust 35. The crew pauses the cargo operation while confirming the ship-speed requirement.</v>
      </c>
      <c r="Y38" s="13" t="str">
        <f t="shared" ref="Y38:Y69" si="25">O38&amp;" answer | Retrieval "&amp;P38&amp;"% | Ranking "&amp;Q38&amp;"% | Grounding "&amp;R38&amp;"% | Citation "&amp;S38&amp;"% | Hallucination Risk "&amp;T38&amp;"% | Trust "&amp;U38&amp;"%"</f>
        <v>Partial answer | Retrieval 50% | Ranking 55% | Grounding 60% | Citation 50% | Hallucination Risk 40% | Trust 55%</v>
      </c>
      <c r="Z38" s="15"/>
      <c r="AA38" s="16" t="s">
        <v>23</v>
      </c>
      <c r="AB38" s="17"/>
    </row>
    <row r="39" spans="1:28" ht="78" customHeight="1">
      <c r="A39" s="12" t="s">
        <v>237</v>
      </c>
      <c r="B39" s="12" t="s">
        <v>108</v>
      </c>
      <c r="C39" s="12" t="s">
        <v>109</v>
      </c>
      <c r="D39" s="12" t="s">
        <v>110</v>
      </c>
      <c r="E39" s="12" t="s">
        <v>195</v>
      </c>
      <c r="F39" s="12" t="s">
        <v>226</v>
      </c>
      <c r="G39" s="12" t="s">
        <v>197</v>
      </c>
      <c r="H39" s="12" t="s">
        <v>227</v>
      </c>
      <c r="I39" s="12" t="s">
        <v>199</v>
      </c>
      <c r="J39" s="12" t="s">
        <v>228</v>
      </c>
      <c r="K39" s="12" t="s">
        <v>193</v>
      </c>
      <c r="L39" s="12" t="s">
        <v>225</v>
      </c>
      <c r="M39" s="13">
        <f t="shared" si="15"/>
        <v>4</v>
      </c>
      <c r="N39" s="13">
        <f t="shared" si="16"/>
        <v>1</v>
      </c>
      <c r="O39" s="13" t="str">
        <f t="shared" si="17"/>
        <v>Partial</v>
      </c>
      <c r="P39" s="14">
        <f t="shared" si="18"/>
        <v>50</v>
      </c>
      <c r="Q39" s="14">
        <f t="shared" si="19"/>
        <v>40</v>
      </c>
      <c r="R39" s="14">
        <f t="shared" si="20"/>
        <v>60</v>
      </c>
      <c r="S39" s="14">
        <f t="shared" si="21"/>
        <v>50</v>
      </c>
      <c r="T39" s="14">
        <f t="shared" si="22"/>
        <v>40</v>
      </c>
      <c r="U39" s="14">
        <f t="shared" si="23"/>
        <v>52</v>
      </c>
      <c r="V39" s="13" t="str">
        <f t="shared" si="24"/>
        <v>Partial</v>
      </c>
      <c r="W39" s="13" t="str">
        <f t="shared" si="13"/>
        <v>MISSION PROTECTED: Response held for more evidence; Try New Mission.</v>
      </c>
      <c r="X39" s="13" t="str">
        <f t="shared" si="14"/>
        <v>MISSION DELAYED; trust 35. The crew pauses the cargo operation while confirming the ship-speed requirement.</v>
      </c>
      <c r="Y39" s="13" t="str">
        <f t="shared" si="25"/>
        <v>Partial answer | Retrieval 50% | Ranking 40% | Grounding 60% | Citation 50% | Hallucination Risk 40% | Trust 52%</v>
      </c>
      <c r="Z39" s="15"/>
      <c r="AA39" s="16" t="s">
        <v>23</v>
      </c>
      <c r="AB39" s="17"/>
    </row>
    <row r="40" spans="1:28" ht="78" customHeight="1">
      <c r="A40" s="12" t="s">
        <v>238</v>
      </c>
      <c r="B40" s="12" t="s">
        <v>108</v>
      </c>
      <c r="C40" s="12" t="s">
        <v>109</v>
      </c>
      <c r="D40" s="12" t="s">
        <v>110</v>
      </c>
      <c r="E40" s="12" t="s">
        <v>195</v>
      </c>
      <c r="F40" s="12" t="s">
        <v>226</v>
      </c>
      <c r="G40" s="12" t="s">
        <v>199</v>
      </c>
      <c r="H40" s="12" t="s">
        <v>228</v>
      </c>
      <c r="I40" s="12" t="s">
        <v>193</v>
      </c>
      <c r="J40" s="12" t="s">
        <v>225</v>
      </c>
      <c r="K40" s="12" t="s">
        <v>197</v>
      </c>
      <c r="L40" s="12" t="s">
        <v>227</v>
      </c>
      <c r="M40" s="13">
        <f t="shared" si="15"/>
        <v>3</v>
      </c>
      <c r="N40" s="13">
        <f t="shared" si="16"/>
        <v>1</v>
      </c>
      <c r="O40" s="13" t="str">
        <f t="shared" si="17"/>
        <v>Partial</v>
      </c>
      <c r="P40" s="14">
        <f t="shared" si="18"/>
        <v>50</v>
      </c>
      <c r="Q40" s="14">
        <f t="shared" si="19"/>
        <v>55</v>
      </c>
      <c r="R40" s="14">
        <f t="shared" si="20"/>
        <v>60</v>
      </c>
      <c r="S40" s="14">
        <f t="shared" si="21"/>
        <v>50</v>
      </c>
      <c r="T40" s="14">
        <f t="shared" si="22"/>
        <v>40</v>
      </c>
      <c r="U40" s="14">
        <f t="shared" si="23"/>
        <v>55</v>
      </c>
      <c r="V40" s="13" t="str">
        <f t="shared" si="24"/>
        <v>Partial</v>
      </c>
      <c r="W40" s="13" t="str">
        <f t="shared" si="13"/>
        <v>MISSION PROTECTED: Response held for more evidence; Try New Mission.</v>
      </c>
      <c r="X40" s="13" t="str">
        <f t="shared" si="14"/>
        <v>MISSION DELAYED; trust 35. The crew pauses the cargo operation while confirming the ship-speed requirement.</v>
      </c>
      <c r="Y40" s="13" t="str">
        <f t="shared" si="25"/>
        <v>Partial answer | Retrieval 50% | Ranking 55% | Grounding 60% | Citation 50% | Hallucination Risk 40% | Trust 55%</v>
      </c>
      <c r="Z40" s="15"/>
      <c r="AA40" s="16" t="s">
        <v>23</v>
      </c>
      <c r="AB40" s="17"/>
    </row>
    <row r="41" spans="1:28" ht="78" customHeight="1">
      <c r="A41" s="12" t="s">
        <v>239</v>
      </c>
      <c r="B41" s="12" t="s">
        <v>108</v>
      </c>
      <c r="C41" s="12" t="s">
        <v>109</v>
      </c>
      <c r="D41" s="12" t="s">
        <v>110</v>
      </c>
      <c r="E41" s="12" t="s">
        <v>195</v>
      </c>
      <c r="F41" s="12" t="s">
        <v>226</v>
      </c>
      <c r="G41" s="12" t="s">
        <v>199</v>
      </c>
      <c r="H41" s="12" t="s">
        <v>228</v>
      </c>
      <c r="I41" s="12" t="s">
        <v>197</v>
      </c>
      <c r="J41" s="12" t="s">
        <v>227</v>
      </c>
      <c r="K41" s="12" t="s">
        <v>193</v>
      </c>
      <c r="L41" s="12" t="s">
        <v>225</v>
      </c>
      <c r="M41" s="13">
        <f t="shared" si="15"/>
        <v>4</v>
      </c>
      <c r="N41" s="13">
        <f t="shared" si="16"/>
        <v>1</v>
      </c>
      <c r="O41" s="13" t="str">
        <f t="shared" si="17"/>
        <v>Partial</v>
      </c>
      <c r="P41" s="14">
        <f t="shared" si="18"/>
        <v>50</v>
      </c>
      <c r="Q41" s="14">
        <f t="shared" si="19"/>
        <v>40</v>
      </c>
      <c r="R41" s="14">
        <f t="shared" si="20"/>
        <v>60</v>
      </c>
      <c r="S41" s="14">
        <f t="shared" si="21"/>
        <v>50</v>
      </c>
      <c r="T41" s="14">
        <f t="shared" si="22"/>
        <v>40</v>
      </c>
      <c r="U41" s="14">
        <f t="shared" si="23"/>
        <v>52</v>
      </c>
      <c r="V41" s="13" t="str">
        <f t="shared" si="24"/>
        <v>Partial</v>
      </c>
      <c r="W41" s="13" t="str">
        <f t="shared" si="13"/>
        <v>MISSION PROTECTED: Response held for more evidence; Try New Mission.</v>
      </c>
      <c r="X41" s="13" t="str">
        <f t="shared" si="14"/>
        <v>MISSION DELAYED; trust 35. The crew pauses the cargo operation while confirming the ship-speed requirement.</v>
      </c>
      <c r="Y41" s="13" t="str">
        <f t="shared" si="25"/>
        <v>Partial answer | Retrieval 50% | Ranking 40% | Grounding 60% | Citation 50% | Hallucination Risk 40% | Trust 52%</v>
      </c>
      <c r="Z41" s="15"/>
      <c r="AA41" s="16" t="s">
        <v>23</v>
      </c>
      <c r="AB41" s="17"/>
    </row>
    <row r="42" spans="1:28" ht="78" customHeight="1">
      <c r="A42" s="12" t="s">
        <v>240</v>
      </c>
      <c r="B42" s="12" t="s">
        <v>108</v>
      </c>
      <c r="C42" s="12" t="s">
        <v>109</v>
      </c>
      <c r="D42" s="12" t="s">
        <v>110</v>
      </c>
      <c r="E42" s="12" t="s">
        <v>197</v>
      </c>
      <c r="F42" s="12" t="s">
        <v>227</v>
      </c>
      <c r="G42" s="12" t="s">
        <v>193</v>
      </c>
      <c r="H42" s="12" t="s">
        <v>225</v>
      </c>
      <c r="I42" s="12" t="s">
        <v>195</v>
      </c>
      <c r="J42" s="12" t="s">
        <v>226</v>
      </c>
      <c r="K42" s="12" t="s">
        <v>199</v>
      </c>
      <c r="L42" s="12" t="s">
        <v>228</v>
      </c>
      <c r="M42" s="13">
        <f t="shared" si="15"/>
        <v>2</v>
      </c>
      <c r="N42" s="13">
        <f t="shared" si="16"/>
        <v>3</v>
      </c>
      <c r="O42" s="13" t="str">
        <f t="shared" si="17"/>
        <v>Partial</v>
      </c>
      <c r="P42" s="14">
        <f t="shared" si="18"/>
        <v>50</v>
      </c>
      <c r="Q42" s="14">
        <f t="shared" si="19"/>
        <v>70</v>
      </c>
      <c r="R42" s="14">
        <f t="shared" si="20"/>
        <v>60</v>
      </c>
      <c r="S42" s="14">
        <f t="shared" si="21"/>
        <v>50</v>
      </c>
      <c r="T42" s="14">
        <f t="shared" si="22"/>
        <v>40</v>
      </c>
      <c r="U42" s="14">
        <f t="shared" si="23"/>
        <v>58</v>
      </c>
      <c r="V42" s="13" t="str">
        <f t="shared" si="24"/>
        <v>Partial</v>
      </c>
      <c r="W42" s="13" t="str">
        <f t="shared" si="13"/>
        <v>MISSION PROTECTED: Response held for more evidence; Try New Mission.</v>
      </c>
      <c r="X42" s="13" t="str">
        <f t="shared" si="14"/>
        <v>MISSION DELAYED; trust 35. The crew pauses the cargo operation while confirming the ship-speed requirement.</v>
      </c>
      <c r="Y42" s="13" t="str">
        <f t="shared" si="25"/>
        <v>Partial answer | Retrieval 50% | Ranking 70% | Grounding 60% | Citation 50% | Hallucination Risk 40% | Trust 58%</v>
      </c>
      <c r="Z42" s="15"/>
      <c r="AA42" s="16" t="s">
        <v>23</v>
      </c>
      <c r="AB42" s="17"/>
    </row>
    <row r="43" spans="1:28" ht="78" customHeight="1">
      <c r="A43" s="12" t="s">
        <v>241</v>
      </c>
      <c r="B43" s="12" t="s">
        <v>108</v>
      </c>
      <c r="C43" s="12" t="s">
        <v>109</v>
      </c>
      <c r="D43" s="12" t="s">
        <v>110</v>
      </c>
      <c r="E43" s="12" t="s">
        <v>197</v>
      </c>
      <c r="F43" s="12" t="s">
        <v>227</v>
      </c>
      <c r="G43" s="12" t="s">
        <v>193</v>
      </c>
      <c r="H43" s="12" t="s">
        <v>225</v>
      </c>
      <c r="I43" s="12" t="s">
        <v>199</v>
      </c>
      <c r="J43" s="12" t="s">
        <v>228</v>
      </c>
      <c r="K43" s="12" t="s">
        <v>195</v>
      </c>
      <c r="L43" s="12" t="s">
        <v>226</v>
      </c>
      <c r="M43" s="13">
        <f t="shared" si="15"/>
        <v>2</v>
      </c>
      <c r="N43" s="13">
        <f t="shared" si="16"/>
        <v>4</v>
      </c>
      <c r="O43" s="13" t="str">
        <f t="shared" si="17"/>
        <v>Partial</v>
      </c>
      <c r="P43" s="14">
        <f t="shared" si="18"/>
        <v>50</v>
      </c>
      <c r="Q43" s="14">
        <f t="shared" si="19"/>
        <v>55</v>
      </c>
      <c r="R43" s="14">
        <f t="shared" si="20"/>
        <v>60</v>
      </c>
      <c r="S43" s="14">
        <f t="shared" si="21"/>
        <v>50</v>
      </c>
      <c r="T43" s="14">
        <f t="shared" si="22"/>
        <v>40</v>
      </c>
      <c r="U43" s="14">
        <f t="shared" si="23"/>
        <v>55</v>
      </c>
      <c r="V43" s="13" t="str">
        <f t="shared" si="24"/>
        <v>Partial</v>
      </c>
      <c r="W43" s="13" t="str">
        <f t="shared" si="13"/>
        <v>MISSION PROTECTED: Response held for more evidence; Try New Mission.</v>
      </c>
      <c r="X43" s="13" t="str">
        <f t="shared" si="14"/>
        <v>MISSION DELAYED; trust 35. The crew pauses the cargo operation while confirming the ship-speed requirement.</v>
      </c>
      <c r="Y43" s="13" t="str">
        <f t="shared" si="25"/>
        <v>Partial answer | Retrieval 50% | Ranking 55% | Grounding 60% | Citation 50% | Hallucination Risk 40% | Trust 55%</v>
      </c>
      <c r="Z43" s="15"/>
      <c r="AA43" s="16" t="s">
        <v>23</v>
      </c>
      <c r="AB43" s="17"/>
    </row>
    <row r="44" spans="1:28" ht="78" customHeight="1">
      <c r="A44" s="12" t="s">
        <v>242</v>
      </c>
      <c r="B44" s="12" t="s">
        <v>108</v>
      </c>
      <c r="C44" s="12" t="s">
        <v>109</v>
      </c>
      <c r="D44" s="12" t="s">
        <v>110</v>
      </c>
      <c r="E44" s="12" t="s">
        <v>197</v>
      </c>
      <c r="F44" s="12" t="s">
        <v>227</v>
      </c>
      <c r="G44" s="12" t="s">
        <v>195</v>
      </c>
      <c r="H44" s="12" t="s">
        <v>226</v>
      </c>
      <c r="I44" s="12" t="s">
        <v>193</v>
      </c>
      <c r="J44" s="12" t="s">
        <v>225</v>
      </c>
      <c r="K44" s="12" t="s">
        <v>199</v>
      </c>
      <c r="L44" s="12" t="s">
        <v>228</v>
      </c>
      <c r="M44" s="13">
        <f t="shared" si="15"/>
        <v>3</v>
      </c>
      <c r="N44" s="13">
        <f t="shared" si="16"/>
        <v>2</v>
      </c>
      <c r="O44" s="13" t="str">
        <f t="shared" si="17"/>
        <v>Partial</v>
      </c>
      <c r="P44" s="14">
        <f t="shared" si="18"/>
        <v>50</v>
      </c>
      <c r="Q44" s="14">
        <f t="shared" si="19"/>
        <v>70</v>
      </c>
      <c r="R44" s="14">
        <f t="shared" si="20"/>
        <v>60</v>
      </c>
      <c r="S44" s="14">
        <f t="shared" si="21"/>
        <v>50</v>
      </c>
      <c r="T44" s="14">
        <f t="shared" si="22"/>
        <v>40</v>
      </c>
      <c r="U44" s="14">
        <f t="shared" si="23"/>
        <v>58</v>
      </c>
      <c r="V44" s="13" t="str">
        <f t="shared" si="24"/>
        <v>Partial</v>
      </c>
      <c r="W44" s="13" t="str">
        <f t="shared" si="13"/>
        <v>MISSION PROTECTED: Response held for more evidence; Try New Mission.</v>
      </c>
      <c r="X44" s="13" t="str">
        <f t="shared" si="14"/>
        <v>MISSION DELAYED; trust 35. The crew pauses the cargo operation while confirming the ship-speed requirement.</v>
      </c>
      <c r="Y44" s="13" t="str">
        <f t="shared" si="25"/>
        <v>Partial answer | Retrieval 50% | Ranking 70% | Grounding 60% | Citation 50% | Hallucination Risk 40% | Trust 58%</v>
      </c>
      <c r="Z44" s="15"/>
      <c r="AA44" s="16" t="s">
        <v>23</v>
      </c>
      <c r="AB44" s="17"/>
    </row>
    <row r="45" spans="1:28" ht="78" customHeight="1">
      <c r="A45" s="12" t="s">
        <v>243</v>
      </c>
      <c r="B45" s="12" t="s">
        <v>108</v>
      </c>
      <c r="C45" s="12" t="s">
        <v>109</v>
      </c>
      <c r="D45" s="12" t="s">
        <v>110</v>
      </c>
      <c r="E45" s="12" t="s">
        <v>197</v>
      </c>
      <c r="F45" s="12" t="s">
        <v>227</v>
      </c>
      <c r="G45" s="12" t="s">
        <v>195</v>
      </c>
      <c r="H45" s="12" t="s">
        <v>226</v>
      </c>
      <c r="I45" s="12" t="s">
        <v>199</v>
      </c>
      <c r="J45" s="12" t="s">
        <v>228</v>
      </c>
      <c r="K45" s="12" t="s">
        <v>193</v>
      </c>
      <c r="L45" s="12" t="s">
        <v>225</v>
      </c>
      <c r="M45" s="13">
        <f t="shared" si="15"/>
        <v>4</v>
      </c>
      <c r="N45" s="13">
        <f t="shared" si="16"/>
        <v>2</v>
      </c>
      <c r="O45" s="13" t="str">
        <f t="shared" si="17"/>
        <v>Partial</v>
      </c>
      <c r="P45" s="14">
        <f t="shared" si="18"/>
        <v>50</v>
      </c>
      <c r="Q45" s="14">
        <f t="shared" si="19"/>
        <v>55</v>
      </c>
      <c r="R45" s="14">
        <f t="shared" si="20"/>
        <v>60</v>
      </c>
      <c r="S45" s="14">
        <f t="shared" si="21"/>
        <v>50</v>
      </c>
      <c r="T45" s="14">
        <f t="shared" si="22"/>
        <v>40</v>
      </c>
      <c r="U45" s="14">
        <f t="shared" si="23"/>
        <v>55</v>
      </c>
      <c r="V45" s="13" t="str">
        <f t="shared" si="24"/>
        <v>Partial</v>
      </c>
      <c r="W45" s="13" t="str">
        <f t="shared" si="13"/>
        <v>MISSION PROTECTED: Response held for more evidence; Try New Mission.</v>
      </c>
      <c r="X45" s="13" t="str">
        <f t="shared" si="14"/>
        <v>MISSION DELAYED; trust 35. The crew pauses the cargo operation while confirming the ship-speed requirement.</v>
      </c>
      <c r="Y45" s="13" t="str">
        <f t="shared" si="25"/>
        <v>Partial answer | Retrieval 50% | Ranking 55% | Grounding 60% | Citation 50% | Hallucination Risk 40% | Trust 55%</v>
      </c>
      <c r="Z45" s="15"/>
      <c r="AA45" s="16" t="s">
        <v>23</v>
      </c>
      <c r="AB45" s="17"/>
    </row>
    <row r="46" spans="1:28" ht="78" customHeight="1">
      <c r="A46" s="12" t="s">
        <v>244</v>
      </c>
      <c r="B46" s="12" t="s">
        <v>108</v>
      </c>
      <c r="C46" s="12" t="s">
        <v>109</v>
      </c>
      <c r="D46" s="12" t="s">
        <v>110</v>
      </c>
      <c r="E46" s="12" t="s">
        <v>197</v>
      </c>
      <c r="F46" s="12" t="s">
        <v>227</v>
      </c>
      <c r="G46" s="12" t="s">
        <v>199</v>
      </c>
      <c r="H46" s="12" t="s">
        <v>228</v>
      </c>
      <c r="I46" s="12" t="s">
        <v>193</v>
      </c>
      <c r="J46" s="12" t="s">
        <v>225</v>
      </c>
      <c r="K46" s="12" t="s">
        <v>195</v>
      </c>
      <c r="L46" s="12" t="s">
        <v>226</v>
      </c>
      <c r="M46" s="13">
        <f t="shared" si="15"/>
        <v>3</v>
      </c>
      <c r="N46" s="13">
        <f t="shared" si="16"/>
        <v>4</v>
      </c>
      <c r="O46" s="13" t="str">
        <f t="shared" si="17"/>
        <v>Risky</v>
      </c>
      <c r="P46" s="14">
        <f t="shared" si="18"/>
        <v>0</v>
      </c>
      <c r="Q46" s="14">
        <f t="shared" si="19"/>
        <v>40</v>
      </c>
      <c r="R46" s="14">
        <f t="shared" si="20"/>
        <v>10</v>
      </c>
      <c r="S46" s="14">
        <f t="shared" si="21"/>
        <v>0</v>
      </c>
      <c r="T46" s="14">
        <f t="shared" si="22"/>
        <v>90</v>
      </c>
      <c r="U46" s="14">
        <f t="shared" si="23"/>
        <v>12</v>
      </c>
      <c r="V46" s="13" t="str">
        <f t="shared" si="24"/>
        <v>Risky</v>
      </c>
      <c r="W46" s="13" t="str">
        <f t="shared" si="13"/>
        <v>RISK BLOCKED: Unsupported action prevented; Try New Mission.</v>
      </c>
      <c r="X46" s="13" t="str">
        <f t="shared" si="14"/>
        <v>GAME OVER; trust 5. The cargo bay opens at cruise speed, causing rapid decompression and the loss of critical equipment.</v>
      </c>
      <c r="Y46" s="13" t="str">
        <f t="shared" si="25"/>
        <v>Risky answer | Retrieval 0% | Ranking 40% | Grounding 10% | Citation 0% | Hallucination Risk 90% | Trust 12%</v>
      </c>
      <c r="Z46" s="15"/>
      <c r="AA46" s="16" t="s">
        <v>23</v>
      </c>
      <c r="AB46" s="17"/>
    </row>
    <row r="47" spans="1:28" ht="78" customHeight="1">
      <c r="A47" s="12" t="s">
        <v>245</v>
      </c>
      <c r="B47" s="12" t="s">
        <v>108</v>
      </c>
      <c r="C47" s="12" t="s">
        <v>109</v>
      </c>
      <c r="D47" s="12" t="s">
        <v>110</v>
      </c>
      <c r="E47" s="12" t="s">
        <v>197</v>
      </c>
      <c r="F47" s="12" t="s">
        <v>227</v>
      </c>
      <c r="G47" s="12" t="s">
        <v>199</v>
      </c>
      <c r="H47" s="12" t="s">
        <v>228</v>
      </c>
      <c r="I47" s="12" t="s">
        <v>195</v>
      </c>
      <c r="J47" s="12" t="s">
        <v>226</v>
      </c>
      <c r="K47" s="12" t="s">
        <v>193</v>
      </c>
      <c r="L47" s="12" t="s">
        <v>225</v>
      </c>
      <c r="M47" s="13">
        <f t="shared" si="15"/>
        <v>4</v>
      </c>
      <c r="N47" s="13">
        <f t="shared" si="16"/>
        <v>3</v>
      </c>
      <c r="O47" s="13" t="str">
        <f t="shared" si="17"/>
        <v>Risky</v>
      </c>
      <c r="P47" s="14">
        <f t="shared" si="18"/>
        <v>0</v>
      </c>
      <c r="Q47" s="14">
        <f t="shared" si="19"/>
        <v>40</v>
      </c>
      <c r="R47" s="14">
        <f t="shared" si="20"/>
        <v>10</v>
      </c>
      <c r="S47" s="14">
        <f t="shared" si="21"/>
        <v>0</v>
      </c>
      <c r="T47" s="14">
        <f t="shared" si="22"/>
        <v>90</v>
      </c>
      <c r="U47" s="14">
        <f t="shared" si="23"/>
        <v>12</v>
      </c>
      <c r="V47" s="13" t="str">
        <f t="shared" si="24"/>
        <v>Risky</v>
      </c>
      <c r="W47" s="13" t="str">
        <f t="shared" si="13"/>
        <v>RISK BLOCKED: Unsupported action prevented; Try New Mission.</v>
      </c>
      <c r="X47" s="13" t="str">
        <f t="shared" si="14"/>
        <v>GAME OVER; trust 5. The cargo bay opens at cruise speed, causing rapid decompression and the loss of critical equipment.</v>
      </c>
      <c r="Y47" s="13" t="str">
        <f t="shared" si="25"/>
        <v>Risky answer | Retrieval 0% | Ranking 40% | Grounding 10% | Citation 0% | Hallucination Risk 90% | Trust 12%</v>
      </c>
      <c r="Z47" s="15"/>
      <c r="AA47" s="16" t="s">
        <v>23</v>
      </c>
      <c r="AB47" s="17"/>
    </row>
    <row r="48" spans="1:28" ht="78" customHeight="1">
      <c r="A48" s="12" t="s">
        <v>246</v>
      </c>
      <c r="B48" s="12" t="s">
        <v>108</v>
      </c>
      <c r="C48" s="12" t="s">
        <v>109</v>
      </c>
      <c r="D48" s="12" t="s">
        <v>110</v>
      </c>
      <c r="E48" s="12" t="s">
        <v>199</v>
      </c>
      <c r="F48" s="12" t="s">
        <v>228</v>
      </c>
      <c r="G48" s="12" t="s">
        <v>193</v>
      </c>
      <c r="H48" s="12" t="s">
        <v>225</v>
      </c>
      <c r="I48" s="12" t="s">
        <v>195</v>
      </c>
      <c r="J48" s="12" t="s">
        <v>226</v>
      </c>
      <c r="K48" s="12" t="s">
        <v>197</v>
      </c>
      <c r="L48" s="12" t="s">
        <v>227</v>
      </c>
      <c r="M48" s="13">
        <f t="shared" si="15"/>
        <v>2</v>
      </c>
      <c r="N48" s="13">
        <f t="shared" si="16"/>
        <v>3</v>
      </c>
      <c r="O48" s="13" t="str">
        <f t="shared" si="17"/>
        <v>Partial</v>
      </c>
      <c r="P48" s="14">
        <f t="shared" si="18"/>
        <v>50</v>
      </c>
      <c r="Q48" s="14">
        <f t="shared" si="19"/>
        <v>70</v>
      </c>
      <c r="R48" s="14">
        <f t="shared" si="20"/>
        <v>60</v>
      </c>
      <c r="S48" s="14">
        <f t="shared" si="21"/>
        <v>50</v>
      </c>
      <c r="T48" s="14">
        <f t="shared" si="22"/>
        <v>40</v>
      </c>
      <c r="U48" s="14">
        <f t="shared" si="23"/>
        <v>58</v>
      </c>
      <c r="V48" s="13" t="str">
        <f t="shared" si="24"/>
        <v>Partial</v>
      </c>
      <c r="W48" s="13" t="str">
        <f t="shared" si="13"/>
        <v>MISSION PROTECTED: Response held for more evidence; Try New Mission.</v>
      </c>
      <c r="X48" s="13" t="str">
        <f t="shared" si="14"/>
        <v>MISSION DELAYED; trust 35. The crew pauses the cargo operation while confirming the ship-speed requirement.</v>
      </c>
      <c r="Y48" s="13" t="str">
        <f t="shared" si="25"/>
        <v>Partial answer | Retrieval 50% | Ranking 70% | Grounding 60% | Citation 50% | Hallucination Risk 40% | Trust 58%</v>
      </c>
      <c r="Z48" s="15"/>
      <c r="AA48" s="16" t="s">
        <v>23</v>
      </c>
      <c r="AB48" s="17"/>
    </row>
    <row r="49" spans="1:28" ht="78" customHeight="1">
      <c r="A49" s="12" t="s">
        <v>247</v>
      </c>
      <c r="B49" s="12" t="s">
        <v>108</v>
      </c>
      <c r="C49" s="12" t="s">
        <v>109</v>
      </c>
      <c r="D49" s="12" t="s">
        <v>110</v>
      </c>
      <c r="E49" s="12" t="s">
        <v>199</v>
      </c>
      <c r="F49" s="12" t="s">
        <v>228</v>
      </c>
      <c r="G49" s="12" t="s">
        <v>193</v>
      </c>
      <c r="H49" s="12" t="s">
        <v>225</v>
      </c>
      <c r="I49" s="12" t="s">
        <v>197</v>
      </c>
      <c r="J49" s="12" t="s">
        <v>227</v>
      </c>
      <c r="K49" s="12" t="s">
        <v>195</v>
      </c>
      <c r="L49" s="12" t="s">
        <v>226</v>
      </c>
      <c r="M49" s="13">
        <f t="shared" si="15"/>
        <v>2</v>
      </c>
      <c r="N49" s="13">
        <f t="shared" si="16"/>
        <v>4</v>
      </c>
      <c r="O49" s="13" t="str">
        <f t="shared" si="17"/>
        <v>Partial</v>
      </c>
      <c r="P49" s="14">
        <f t="shared" si="18"/>
        <v>50</v>
      </c>
      <c r="Q49" s="14">
        <f t="shared" si="19"/>
        <v>55</v>
      </c>
      <c r="R49" s="14">
        <f t="shared" si="20"/>
        <v>60</v>
      </c>
      <c r="S49" s="14">
        <f t="shared" si="21"/>
        <v>50</v>
      </c>
      <c r="T49" s="14">
        <f t="shared" si="22"/>
        <v>40</v>
      </c>
      <c r="U49" s="14">
        <f t="shared" si="23"/>
        <v>55</v>
      </c>
      <c r="V49" s="13" t="str">
        <f t="shared" si="24"/>
        <v>Partial</v>
      </c>
      <c r="W49" s="13" t="str">
        <f t="shared" si="13"/>
        <v>MISSION PROTECTED: Response held for more evidence; Try New Mission.</v>
      </c>
      <c r="X49" s="13" t="str">
        <f t="shared" si="14"/>
        <v>MISSION DELAYED; trust 35. The crew pauses the cargo operation while confirming the ship-speed requirement.</v>
      </c>
      <c r="Y49" s="13" t="str">
        <f t="shared" si="25"/>
        <v>Partial answer | Retrieval 50% | Ranking 55% | Grounding 60% | Citation 50% | Hallucination Risk 40% | Trust 55%</v>
      </c>
      <c r="Z49" s="15"/>
      <c r="AA49" s="16" t="s">
        <v>23</v>
      </c>
      <c r="AB49" s="17"/>
    </row>
    <row r="50" spans="1:28" ht="78" customHeight="1">
      <c r="A50" s="12" t="s">
        <v>248</v>
      </c>
      <c r="B50" s="12" t="s">
        <v>108</v>
      </c>
      <c r="C50" s="12" t="s">
        <v>109</v>
      </c>
      <c r="D50" s="12" t="s">
        <v>110</v>
      </c>
      <c r="E50" s="12" t="s">
        <v>199</v>
      </c>
      <c r="F50" s="12" t="s">
        <v>228</v>
      </c>
      <c r="G50" s="12" t="s">
        <v>195</v>
      </c>
      <c r="H50" s="12" t="s">
        <v>226</v>
      </c>
      <c r="I50" s="12" t="s">
        <v>193</v>
      </c>
      <c r="J50" s="12" t="s">
        <v>225</v>
      </c>
      <c r="K50" s="12" t="s">
        <v>197</v>
      </c>
      <c r="L50" s="12" t="s">
        <v>227</v>
      </c>
      <c r="M50" s="13">
        <f t="shared" si="15"/>
        <v>3</v>
      </c>
      <c r="N50" s="13">
        <f t="shared" si="16"/>
        <v>2</v>
      </c>
      <c r="O50" s="13" t="str">
        <f t="shared" si="17"/>
        <v>Partial</v>
      </c>
      <c r="P50" s="14">
        <f t="shared" si="18"/>
        <v>50</v>
      </c>
      <c r="Q50" s="14">
        <f t="shared" si="19"/>
        <v>70</v>
      </c>
      <c r="R50" s="14">
        <f t="shared" si="20"/>
        <v>60</v>
      </c>
      <c r="S50" s="14">
        <f t="shared" si="21"/>
        <v>50</v>
      </c>
      <c r="T50" s="14">
        <f t="shared" si="22"/>
        <v>40</v>
      </c>
      <c r="U50" s="14">
        <f t="shared" si="23"/>
        <v>58</v>
      </c>
      <c r="V50" s="13" t="str">
        <f t="shared" si="24"/>
        <v>Partial</v>
      </c>
      <c r="W50" s="13" t="str">
        <f t="shared" si="13"/>
        <v>MISSION PROTECTED: Response held for more evidence; Try New Mission.</v>
      </c>
      <c r="X50" s="13" t="str">
        <f t="shared" si="14"/>
        <v>MISSION DELAYED; trust 35. The crew pauses the cargo operation while confirming the ship-speed requirement.</v>
      </c>
      <c r="Y50" s="13" t="str">
        <f t="shared" si="25"/>
        <v>Partial answer | Retrieval 50% | Ranking 70% | Grounding 60% | Citation 50% | Hallucination Risk 40% | Trust 58%</v>
      </c>
      <c r="Z50" s="15"/>
      <c r="AA50" s="16" t="s">
        <v>23</v>
      </c>
      <c r="AB50" s="17"/>
    </row>
    <row r="51" spans="1:28" ht="78" customHeight="1">
      <c r="A51" s="12" t="s">
        <v>249</v>
      </c>
      <c r="B51" s="12" t="s">
        <v>108</v>
      </c>
      <c r="C51" s="12" t="s">
        <v>109</v>
      </c>
      <c r="D51" s="12" t="s">
        <v>110</v>
      </c>
      <c r="E51" s="12" t="s">
        <v>199</v>
      </c>
      <c r="F51" s="12" t="s">
        <v>228</v>
      </c>
      <c r="G51" s="12" t="s">
        <v>195</v>
      </c>
      <c r="H51" s="12" t="s">
        <v>226</v>
      </c>
      <c r="I51" s="12" t="s">
        <v>197</v>
      </c>
      <c r="J51" s="12" t="s">
        <v>227</v>
      </c>
      <c r="K51" s="12" t="s">
        <v>193</v>
      </c>
      <c r="L51" s="12" t="s">
        <v>225</v>
      </c>
      <c r="M51" s="13">
        <f t="shared" si="15"/>
        <v>4</v>
      </c>
      <c r="N51" s="13">
        <f t="shared" si="16"/>
        <v>2</v>
      </c>
      <c r="O51" s="13" t="str">
        <f t="shared" si="17"/>
        <v>Partial</v>
      </c>
      <c r="P51" s="14">
        <f t="shared" si="18"/>
        <v>50</v>
      </c>
      <c r="Q51" s="14">
        <f t="shared" si="19"/>
        <v>55</v>
      </c>
      <c r="R51" s="14">
        <f t="shared" si="20"/>
        <v>60</v>
      </c>
      <c r="S51" s="14">
        <f t="shared" si="21"/>
        <v>50</v>
      </c>
      <c r="T51" s="14">
        <f t="shared" si="22"/>
        <v>40</v>
      </c>
      <c r="U51" s="14">
        <f t="shared" si="23"/>
        <v>55</v>
      </c>
      <c r="V51" s="13" t="str">
        <f t="shared" si="24"/>
        <v>Partial</v>
      </c>
      <c r="W51" s="13" t="str">
        <f t="shared" si="13"/>
        <v>MISSION PROTECTED: Response held for more evidence; Try New Mission.</v>
      </c>
      <c r="X51" s="13" t="str">
        <f t="shared" si="14"/>
        <v>MISSION DELAYED; trust 35. The crew pauses the cargo operation while confirming the ship-speed requirement.</v>
      </c>
      <c r="Y51" s="13" t="str">
        <f t="shared" si="25"/>
        <v>Partial answer | Retrieval 50% | Ranking 55% | Grounding 60% | Citation 50% | Hallucination Risk 40% | Trust 55%</v>
      </c>
      <c r="Z51" s="15"/>
      <c r="AA51" s="16" t="s">
        <v>23</v>
      </c>
      <c r="AB51" s="17"/>
    </row>
    <row r="52" spans="1:28" ht="78" customHeight="1">
      <c r="A52" s="12" t="s">
        <v>250</v>
      </c>
      <c r="B52" s="12" t="s">
        <v>108</v>
      </c>
      <c r="C52" s="12" t="s">
        <v>109</v>
      </c>
      <c r="D52" s="12" t="s">
        <v>110</v>
      </c>
      <c r="E52" s="12" t="s">
        <v>199</v>
      </c>
      <c r="F52" s="12" t="s">
        <v>228</v>
      </c>
      <c r="G52" s="12" t="s">
        <v>197</v>
      </c>
      <c r="H52" s="12" t="s">
        <v>227</v>
      </c>
      <c r="I52" s="12" t="s">
        <v>193</v>
      </c>
      <c r="J52" s="12" t="s">
        <v>225</v>
      </c>
      <c r="K52" s="12" t="s">
        <v>195</v>
      </c>
      <c r="L52" s="12" t="s">
        <v>226</v>
      </c>
      <c r="M52" s="13">
        <f t="shared" si="15"/>
        <v>3</v>
      </c>
      <c r="N52" s="13">
        <f t="shared" si="16"/>
        <v>4</v>
      </c>
      <c r="O52" s="13" t="str">
        <f t="shared" si="17"/>
        <v>Risky</v>
      </c>
      <c r="P52" s="14">
        <f t="shared" si="18"/>
        <v>0</v>
      </c>
      <c r="Q52" s="14">
        <f t="shared" si="19"/>
        <v>40</v>
      </c>
      <c r="R52" s="14">
        <f t="shared" si="20"/>
        <v>10</v>
      </c>
      <c r="S52" s="14">
        <f t="shared" si="21"/>
        <v>0</v>
      </c>
      <c r="T52" s="14">
        <f t="shared" si="22"/>
        <v>90</v>
      </c>
      <c r="U52" s="14">
        <f t="shared" si="23"/>
        <v>12</v>
      </c>
      <c r="V52" s="13" t="str">
        <f t="shared" si="24"/>
        <v>Risky</v>
      </c>
      <c r="W52" s="13" t="str">
        <f t="shared" si="13"/>
        <v>RISK BLOCKED: Unsupported action prevented; Try New Mission.</v>
      </c>
      <c r="X52" s="13" t="str">
        <f t="shared" si="14"/>
        <v>GAME OVER; trust 5. The cargo bay opens at cruise speed, causing rapid decompression and the loss of critical equipment.</v>
      </c>
      <c r="Y52" s="13" t="str">
        <f t="shared" si="25"/>
        <v>Risky answer | Retrieval 0% | Ranking 40% | Grounding 10% | Citation 0% | Hallucination Risk 90% | Trust 12%</v>
      </c>
      <c r="Z52" s="15"/>
      <c r="AA52" s="16" t="s">
        <v>23</v>
      </c>
      <c r="AB52" s="17"/>
    </row>
    <row r="53" spans="1:28" ht="78" customHeight="1">
      <c r="A53" s="12" t="s">
        <v>251</v>
      </c>
      <c r="B53" s="12" t="s">
        <v>108</v>
      </c>
      <c r="C53" s="12" t="s">
        <v>109</v>
      </c>
      <c r="D53" s="12" t="s">
        <v>110</v>
      </c>
      <c r="E53" s="12" t="s">
        <v>199</v>
      </c>
      <c r="F53" s="12" t="s">
        <v>228</v>
      </c>
      <c r="G53" s="12" t="s">
        <v>197</v>
      </c>
      <c r="H53" s="12" t="s">
        <v>227</v>
      </c>
      <c r="I53" s="12" t="s">
        <v>195</v>
      </c>
      <c r="J53" s="12" t="s">
        <v>226</v>
      </c>
      <c r="K53" s="12" t="s">
        <v>193</v>
      </c>
      <c r="L53" s="12" t="s">
        <v>225</v>
      </c>
      <c r="M53" s="13">
        <f t="shared" si="15"/>
        <v>4</v>
      </c>
      <c r="N53" s="13">
        <f t="shared" si="16"/>
        <v>3</v>
      </c>
      <c r="O53" s="13" t="str">
        <f t="shared" si="17"/>
        <v>Risky</v>
      </c>
      <c r="P53" s="14">
        <f t="shared" si="18"/>
        <v>0</v>
      </c>
      <c r="Q53" s="14">
        <f t="shared" si="19"/>
        <v>40</v>
      </c>
      <c r="R53" s="14">
        <f t="shared" si="20"/>
        <v>10</v>
      </c>
      <c r="S53" s="14">
        <f t="shared" si="21"/>
        <v>0</v>
      </c>
      <c r="T53" s="14">
        <f t="shared" si="22"/>
        <v>90</v>
      </c>
      <c r="U53" s="14">
        <f t="shared" si="23"/>
        <v>12</v>
      </c>
      <c r="V53" s="13" t="str">
        <f t="shared" si="24"/>
        <v>Risky</v>
      </c>
      <c r="W53" s="13" t="str">
        <f t="shared" si="13"/>
        <v>RISK BLOCKED: Unsupported action prevented; Try New Mission.</v>
      </c>
      <c r="X53" s="13" t="str">
        <f t="shared" si="14"/>
        <v>GAME OVER; trust 5. The cargo bay opens at cruise speed, causing rapid decompression and the loss of critical equipment.</v>
      </c>
      <c r="Y53" s="13" t="str">
        <f t="shared" si="25"/>
        <v>Risky answer | Retrieval 0% | Ranking 40% | Grounding 10% | Citation 0% | Hallucination Risk 90% | Trust 12%</v>
      </c>
      <c r="Z53" s="15"/>
      <c r="AA53" s="16" t="s">
        <v>23</v>
      </c>
      <c r="AB53" s="17"/>
    </row>
    <row r="54" spans="1:28" ht="78" customHeight="1">
      <c r="A54" s="12" t="s">
        <v>252</v>
      </c>
      <c r="B54" s="12" t="s">
        <v>123</v>
      </c>
      <c r="C54" s="12" t="s">
        <v>124</v>
      </c>
      <c r="D54" s="12" t="s">
        <v>125</v>
      </c>
      <c r="E54" s="12" t="s">
        <v>193</v>
      </c>
      <c r="F54" s="12" t="s">
        <v>253</v>
      </c>
      <c r="G54" s="12" t="s">
        <v>195</v>
      </c>
      <c r="H54" s="12" t="s">
        <v>254</v>
      </c>
      <c r="I54" s="12" t="s">
        <v>197</v>
      </c>
      <c r="J54" s="12" t="s">
        <v>255</v>
      </c>
      <c r="K54" s="12" t="s">
        <v>199</v>
      </c>
      <c r="L54" s="12" t="s">
        <v>256</v>
      </c>
      <c r="M54" s="13">
        <f t="shared" si="15"/>
        <v>1</v>
      </c>
      <c r="N54" s="13">
        <f t="shared" si="16"/>
        <v>2</v>
      </c>
      <c r="O54" s="13" t="str">
        <f t="shared" si="17"/>
        <v>Grounded</v>
      </c>
      <c r="P54" s="14">
        <f t="shared" si="18"/>
        <v>100</v>
      </c>
      <c r="Q54" s="14">
        <f t="shared" si="19"/>
        <v>100</v>
      </c>
      <c r="R54" s="14">
        <f t="shared" si="20"/>
        <v>100</v>
      </c>
      <c r="S54" s="14">
        <f t="shared" si="21"/>
        <v>100</v>
      </c>
      <c r="T54" s="14">
        <f t="shared" si="22"/>
        <v>0</v>
      </c>
      <c r="U54" s="14">
        <f t="shared" si="23"/>
        <v>100</v>
      </c>
      <c r="V54" s="13" t="str">
        <f t="shared" si="24"/>
        <v>Grounded</v>
      </c>
      <c r="W54" s="13" t="str">
        <f t="shared" ref="W54:W77" si="26">IF(O54="Grounded","MISSION SUCCESS: The reactor remains offline while the coolant system lowers the temperature, preventing an overheat emergency.",IF(O54="Partial","MISSION PROTECTED: Response held for more evidence; Try New Mission.","RISK BLOCKED: Unsupported action prevented; Try New Mission."))</f>
        <v>MISSION SUCCESS: The reactor remains offline while the coolant system lowers the temperature, preventing an overheat emergency.</v>
      </c>
      <c r="X54" s="13" t="str">
        <f t="shared" ref="X54:X77" si="27">IF(O54="Grounded","MISSION SUCCESS + PROCESS WARNING; trust 70. The reactor remains offline while the coolant system lowers the temperature, preventing an overheat emergency.",IF(O54="Partial","MISSION DELAYED; trust 35. The crew postpones the restart while engineers verify the coolant temperature.","GAME OVER; trust 5. The reactor restarts while overheated, triggering a reactor fire and an emergency power shutdown."))</f>
        <v>MISSION SUCCESS + PROCESS WARNING; trust 70. The reactor remains offline while the coolant system lowers the temperature, preventing an overheat emergency.</v>
      </c>
      <c r="Y54" s="13" t="str">
        <f t="shared" si="25"/>
        <v>Grounded answer | Retrieval 100% | Ranking 100% | Grounding 100% | Citation 100% | Hallucination Risk 0% | Trust 100%</v>
      </c>
      <c r="Z54" s="15" t="s">
        <v>621</v>
      </c>
      <c r="AA54" s="16" t="s">
        <v>618</v>
      </c>
      <c r="AB54" s="17"/>
    </row>
    <row r="55" spans="1:28" ht="78" customHeight="1">
      <c r="A55" s="12" t="s">
        <v>257</v>
      </c>
      <c r="B55" s="12" t="s">
        <v>123</v>
      </c>
      <c r="C55" s="12" t="s">
        <v>124</v>
      </c>
      <c r="D55" s="12" t="s">
        <v>125</v>
      </c>
      <c r="E55" s="12" t="s">
        <v>193</v>
      </c>
      <c r="F55" s="12" t="s">
        <v>253</v>
      </c>
      <c r="G55" s="12" t="s">
        <v>195</v>
      </c>
      <c r="H55" s="12" t="s">
        <v>254</v>
      </c>
      <c r="I55" s="12" t="s">
        <v>199</v>
      </c>
      <c r="J55" s="12" t="s">
        <v>256</v>
      </c>
      <c r="K55" s="12" t="s">
        <v>197</v>
      </c>
      <c r="L55" s="12" t="s">
        <v>255</v>
      </c>
      <c r="M55" s="13">
        <f t="shared" si="15"/>
        <v>1</v>
      </c>
      <c r="N55" s="13">
        <f t="shared" si="16"/>
        <v>2</v>
      </c>
      <c r="O55" s="13" t="str">
        <f t="shared" si="17"/>
        <v>Grounded</v>
      </c>
      <c r="P55" s="14">
        <f t="shared" si="18"/>
        <v>100</v>
      </c>
      <c r="Q55" s="14">
        <f t="shared" si="19"/>
        <v>100</v>
      </c>
      <c r="R55" s="14">
        <f t="shared" si="20"/>
        <v>100</v>
      </c>
      <c r="S55" s="14">
        <f t="shared" si="21"/>
        <v>100</v>
      </c>
      <c r="T55" s="14">
        <f t="shared" si="22"/>
        <v>0</v>
      </c>
      <c r="U55" s="14">
        <f t="shared" si="23"/>
        <v>100</v>
      </c>
      <c r="V55" s="13" t="str">
        <f t="shared" si="24"/>
        <v>Grounded</v>
      </c>
      <c r="W55" s="13" t="str">
        <f t="shared" si="26"/>
        <v>MISSION SUCCESS: The reactor remains offline while the coolant system lowers the temperature, preventing an overheat emergency.</v>
      </c>
      <c r="X55" s="13" t="str">
        <f t="shared" si="27"/>
        <v>MISSION SUCCESS + PROCESS WARNING; trust 70. The reactor remains offline while the coolant system lowers the temperature, preventing an overheat emergency.</v>
      </c>
      <c r="Y55" s="13" t="str">
        <f t="shared" si="25"/>
        <v>Grounded answer | Retrieval 100% | Ranking 100% | Grounding 100% | Citation 100% | Hallucination Risk 0% | Trust 100%</v>
      </c>
      <c r="Z55" s="15"/>
      <c r="AA55" s="16" t="s">
        <v>23</v>
      </c>
      <c r="AB55" s="17"/>
    </row>
    <row r="56" spans="1:28" ht="78" customHeight="1">
      <c r="A56" s="12" t="s">
        <v>258</v>
      </c>
      <c r="B56" s="12" t="s">
        <v>123</v>
      </c>
      <c r="C56" s="12" t="s">
        <v>124</v>
      </c>
      <c r="D56" s="12" t="s">
        <v>125</v>
      </c>
      <c r="E56" s="12" t="s">
        <v>193</v>
      </c>
      <c r="F56" s="12" t="s">
        <v>253</v>
      </c>
      <c r="G56" s="12" t="s">
        <v>197</v>
      </c>
      <c r="H56" s="12" t="s">
        <v>255</v>
      </c>
      <c r="I56" s="12" t="s">
        <v>195</v>
      </c>
      <c r="J56" s="12" t="s">
        <v>254</v>
      </c>
      <c r="K56" s="12" t="s">
        <v>199</v>
      </c>
      <c r="L56" s="12" t="s">
        <v>256</v>
      </c>
      <c r="M56" s="13">
        <f t="shared" si="15"/>
        <v>1</v>
      </c>
      <c r="N56" s="13">
        <f t="shared" si="16"/>
        <v>3</v>
      </c>
      <c r="O56" s="13" t="str">
        <f t="shared" si="17"/>
        <v>Partial</v>
      </c>
      <c r="P56" s="14">
        <f t="shared" si="18"/>
        <v>50</v>
      </c>
      <c r="Q56" s="14">
        <f t="shared" si="19"/>
        <v>85</v>
      </c>
      <c r="R56" s="14">
        <f t="shared" si="20"/>
        <v>60</v>
      </c>
      <c r="S56" s="14">
        <f t="shared" si="21"/>
        <v>50</v>
      </c>
      <c r="T56" s="14">
        <f t="shared" si="22"/>
        <v>40</v>
      </c>
      <c r="U56" s="14">
        <f t="shared" si="23"/>
        <v>61</v>
      </c>
      <c r="V56" s="13" t="str">
        <f t="shared" si="24"/>
        <v>Partial</v>
      </c>
      <c r="W56" s="13" t="str">
        <f t="shared" si="26"/>
        <v>MISSION PROTECTED: Response held for more evidence; Try New Mission.</v>
      </c>
      <c r="X56" s="13" t="str">
        <f t="shared" si="27"/>
        <v>MISSION DELAYED; trust 35. The crew postpones the restart while engineers verify the coolant temperature.</v>
      </c>
      <c r="Y56" s="13" t="str">
        <f t="shared" si="25"/>
        <v>Partial answer | Retrieval 50% | Ranking 85% | Grounding 60% | Citation 50% | Hallucination Risk 40% | Trust 61%</v>
      </c>
      <c r="Z56" s="15"/>
      <c r="AA56" s="16" t="s">
        <v>23</v>
      </c>
      <c r="AB56" s="17"/>
    </row>
    <row r="57" spans="1:28" ht="78" customHeight="1">
      <c r="A57" s="12" t="s">
        <v>259</v>
      </c>
      <c r="B57" s="12" t="s">
        <v>123</v>
      </c>
      <c r="C57" s="12" t="s">
        <v>124</v>
      </c>
      <c r="D57" s="12" t="s">
        <v>125</v>
      </c>
      <c r="E57" s="12" t="s">
        <v>193</v>
      </c>
      <c r="F57" s="12" t="s">
        <v>253</v>
      </c>
      <c r="G57" s="12" t="s">
        <v>197</v>
      </c>
      <c r="H57" s="12" t="s">
        <v>255</v>
      </c>
      <c r="I57" s="12" t="s">
        <v>199</v>
      </c>
      <c r="J57" s="12" t="s">
        <v>256</v>
      </c>
      <c r="K57" s="12" t="s">
        <v>195</v>
      </c>
      <c r="L57" s="12" t="s">
        <v>254</v>
      </c>
      <c r="M57" s="13">
        <f t="shared" si="15"/>
        <v>1</v>
      </c>
      <c r="N57" s="13">
        <f t="shared" si="16"/>
        <v>4</v>
      </c>
      <c r="O57" s="13" t="str">
        <f t="shared" si="17"/>
        <v>Partial</v>
      </c>
      <c r="P57" s="14">
        <f t="shared" si="18"/>
        <v>50</v>
      </c>
      <c r="Q57" s="14">
        <f t="shared" si="19"/>
        <v>70</v>
      </c>
      <c r="R57" s="14">
        <f t="shared" si="20"/>
        <v>60</v>
      </c>
      <c r="S57" s="14">
        <f t="shared" si="21"/>
        <v>50</v>
      </c>
      <c r="T57" s="14">
        <f t="shared" si="22"/>
        <v>40</v>
      </c>
      <c r="U57" s="14">
        <f t="shared" si="23"/>
        <v>58</v>
      </c>
      <c r="V57" s="13" t="str">
        <f t="shared" si="24"/>
        <v>Partial</v>
      </c>
      <c r="W57" s="13" t="str">
        <f t="shared" si="26"/>
        <v>MISSION PROTECTED: Response held for more evidence; Try New Mission.</v>
      </c>
      <c r="X57" s="13" t="str">
        <f t="shared" si="27"/>
        <v>MISSION DELAYED; trust 35. The crew postpones the restart while engineers verify the coolant temperature.</v>
      </c>
      <c r="Y57" s="13" t="str">
        <f t="shared" si="25"/>
        <v>Partial answer | Retrieval 50% | Ranking 70% | Grounding 60% | Citation 50% | Hallucination Risk 40% | Trust 58%</v>
      </c>
      <c r="Z57" s="15"/>
      <c r="AA57" s="16" t="s">
        <v>23</v>
      </c>
      <c r="AB57" s="17"/>
    </row>
    <row r="58" spans="1:28" ht="78" customHeight="1">
      <c r="A58" s="12" t="s">
        <v>260</v>
      </c>
      <c r="B58" s="12" t="s">
        <v>123</v>
      </c>
      <c r="C58" s="12" t="s">
        <v>124</v>
      </c>
      <c r="D58" s="12" t="s">
        <v>125</v>
      </c>
      <c r="E58" s="12" t="s">
        <v>193</v>
      </c>
      <c r="F58" s="12" t="s">
        <v>253</v>
      </c>
      <c r="G58" s="12" t="s">
        <v>199</v>
      </c>
      <c r="H58" s="12" t="s">
        <v>256</v>
      </c>
      <c r="I58" s="12" t="s">
        <v>195</v>
      </c>
      <c r="J58" s="12" t="s">
        <v>254</v>
      </c>
      <c r="K58" s="12" t="s">
        <v>197</v>
      </c>
      <c r="L58" s="12" t="s">
        <v>255</v>
      </c>
      <c r="M58" s="13">
        <f t="shared" si="15"/>
        <v>1</v>
      </c>
      <c r="N58" s="13">
        <f t="shared" si="16"/>
        <v>3</v>
      </c>
      <c r="O58" s="13" t="str">
        <f t="shared" si="17"/>
        <v>Partial</v>
      </c>
      <c r="P58" s="14">
        <f t="shared" si="18"/>
        <v>50</v>
      </c>
      <c r="Q58" s="14">
        <f t="shared" si="19"/>
        <v>85</v>
      </c>
      <c r="R58" s="14">
        <f t="shared" si="20"/>
        <v>60</v>
      </c>
      <c r="S58" s="14">
        <f t="shared" si="21"/>
        <v>50</v>
      </c>
      <c r="T58" s="14">
        <f t="shared" si="22"/>
        <v>40</v>
      </c>
      <c r="U58" s="14">
        <f t="shared" si="23"/>
        <v>61</v>
      </c>
      <c r="V58" s="13" t="str">
        <f t="shared" si="24"/>
        <v>Partial</v>
      </c>
      <c r="W58" s="13" t="str">
        <f t="shared" si="26"/>
        <v>MISSION PROTECTED: Response held for more evidence; Try New Mission.</v>
      </c>
      <c r="X58" s="13" t="str">
        <f t="shared" si="27"/>
        <v>MISSION DELAYED; trust 35. The crew postpones the restart while engineers verify the coolant temperature.</v>
      </c>
      <c r="Y58" s="13" t="str">
        <f t="shared" si="25"/>
        <v>Partial answer | Retrieval 50% | Ranking 85% | Grounding 60% | Citation 50% | Hallucination Risk 40% | Trust 61%</v>
      </c>
      <c r="Z58" s="15"/>
      <c r="AA58" s="16" t="s">
        <v>23</v>
      </c>
      <c r="AB58" s="17"/>
    </row>
    <row r="59" spans="1:28" ht="78" customHeight="1">
      <c r="A59" s="12" t="s">
        <v>261</v>
      </c>
      <c r="B59" s="12" t="s">
        <v>123</v>
      </c>
      <c r="C59" s="12" t="s">
        <v>124</v>
      </c>
      <c r="D59" s="12" t="s">
        <v>125</v>
      </c>
      <c r="E59" s="12" t="s">
        <v>193</v>
      </c>
      <c r="F59" s="12" t="s">
        <v>253</v>
      </c>
      <c r="G59" s="12" t="s">
        <v>199</v>
      </c>
      <c r="H59" s="12" t="s">
        <v>256</v>
      </c>
      <c r="I59" s="12" t="s">
        <v>197</v>
      </c>
      <c r="J59" s="12" t="s">
        <v>255</v>
      </c>
      <c r="K59" s="12" t="s">
        <v>195</v>
      </c>
      <c r="L59" s="12" t="s">
        <v>254</v>
      </c>
      <c r="M59" s="13">
        <f t="shared" si="15"/>
        <v>1</v>
      </c>
      <c r="N59" s="13">
        <f t="shared" si="16"/>
        <v>4</v>
      </c>
      <c r="O59" s="13" t="str">
        <f t="shared" si="17"/>
        <v>Partial</v>
      </c>
      <c r="P59" s="14">
        <f t="shared" si="18"/>
        <v>50</v>
      </c>
      <c r="Q59" s="14">
        <f t="shared" si="19"/>
        <v>70</v>
      </c>
      <c r="R59" s="14">
        <f t="shared" si="20"/>
        <v>60</v>
      </c>
      <c r="S59" s="14">
        <f t="shared" si="21"/>
        <v>50</v>
      </c>
      <c r="T59" s="14">
        <f t="shared" si="22"/>
        <v>40</v>
      </c>
      <c r="U59" s="14">
        <f t="shared" si="23"/>
        <v>58</v>
      </c>
      <c r="V59" s="13" t="str">
        <f t="shared" si="24"/>
        <v>Partial</v>
      </c>
      <c r="W59" s="13" t="str">
        <f t="shared" si="26"/>
        <v>MISSION PROTECTED: Response held for more evidence; Try New Mission.</v>
      </c>
      <c r="X59" s="13" t="str">
        <f t="shared" si="27"/>
        <v>MISSION DELAYED; trust 35. The crew postpones the restart while engineers verify the coolant temperature.</v>
      </c>
      <c r="Y59" s="13" t="str">
        <f t="shared" si="25"/>
        <v>Partial answer | Retrieval 50% | Ranking 70% | Grounding 60% | Citation 50% | Hallucination Risk 40% | Trust 58%</v>
      </c>
      <c r="Z59" s="15"/>
      <c r="AA59" s="16" t="s">
        <v>23</v>
      </c>
      <c r="AB59" s="17"/>
    </row>
    <row r="60" spans="1:28" ht="78" customHeight="1">
      <c r="A60" s="12" t="s">
        <v>262</v>
      </c>
      <c r="B60" s="12" t="s">
        <v>123</v>
      </c>
      <c r="C60" s="12" t="s">
        <v>124</v>
      </c>
      <c r="D60" s="12" t="s">
        <v>125</v>
      </c>
      <c r="E60" s="12" t="s">
        <v>195</v>
      </c>
      <c r="F60" s="12" t="s">
        <v>254</v>
      </c>
      <c r="G60" s="12" t="s">
        <v>193</v>
      </c>
      <c r="H60" s="12" t="s">
        <v>253</v>
      </c>
      <c r="I60" s="12" t="s">
        <v>197</v>
      </c>
      <c r="J60" s="12" t="s">
        <v>255</v>
      </c>
      <c r="K60" s="12" t="s">
        <v>199</v>
      </c>
      <c r="L60" s="12" t="s">
        <v>256</v>
      </c>
      <c r="M60" s="13">
        <f t="shared" si="15"/>
        <v>2</v>
      </c>
      <c r="N60" s="13">
        <f t="shared" si="16"/>
        <v>1</v>
      </c>
      <c r="O60" s="13" t="str">
        <f t="shared" si="17"/>
        <v>Grounded</v>
      </c>
      <c r="P60" s="14">
        <f t="shared" si="18"/>
        <v>100</v>
      </c>
      <c r="Q60" s="14">
        <f t="shared" si="19"/>
        <v>70</v>
      </c>
      <c r="R60" s="14">
        <f t="shared" si="20"/>
        <v>100</v>
      </c>
      <c r="S60" s="14">
        <f t="shared" si="21"/>
        <v>100</v>
      </c>
      <c r="T60" s="14">
        <f t="shared" si="22"/>
        <v>0</v>
      </c>
      <c r="U60" s="14">
        <f t="shared" si="23"/>
        <v>94</v>
      </c>
      <c r="V60" s="13" t="str">
        <f t="shared" si="24"/>
        <v>Grounded</v>
      </c>
      <c r="W60" s="13" t="str">
        <f t="shared" si="26"/>
        <v>MISSION SUCCESS: The reactor remains offline while the coolant system lowers the temperature, preventing an overheat emergency.</v>
      </c>
      <c r="X60" s="13" t="str">
        <f t="shared" si="27"/>
        <v>MISSION SUCCESS + PROCESS WARNING; trust 70. The reactor remains offline while the coolant system lowers the temperature, preventing an overheat emergency.</v>
      </c>
      <c r="Y60" s="13" t="str">
        <f t="shared" si="25"/>
        <v>Grounded answer | Retrieval 100% | Ranking 70% | Grounding 100% | Citation 100% | Hallucination Risk 0% | Trust 94%</v>
      </c>
      <c r="Z60" s="15"/>
      <c r="AA60" s="16" t="s">
        <v>23</v>
      </c>
      <c r="AB60" s="17"/>
    </row>
    <row r="61" spans="1:28" ht="78" customHeight="1">
      <c r="A61" s="12" t="s">
        <v>263</v>
      </c>
      <c r="B61" s="12" t="s">
        <v>123</v>
      </c>
      <c r="C61" s="12" t="s">
        <v>124</v>
      </c>
      <c r="D61" s="12" t="s">
        <v>125</v>
      </c>
      <c r="E61" s="12" t="s">
        <v>195</v>
      </c>
      <c r="F61" s="12" t="s">
        <v>254</v>
      </c>
      <c r="G61" s="12" t="s">
        <v>193</v>
      </c>
      <c r="H61" s="12" t="s">
        <v>253</v>
      </c>
      <c r="I61" s="12" t="s">
        <v>199</v>
      </c>
      <c r="J61" s="12" t="s">
        <v>256</v>
      </c>
      <c r="K61" s="12" t="s">
        <v>197</v>
      </c>
      <c r="L61" s="12" t="s">
        <v>255</v>
      </c>
      <c r="M61" s="13">
        <f t="shared" si="15"/>
        <v>2</v>
      </c>
      <c r="N61" s="13">
        <f t="shared" si="16"/>
        <v>1</v>
      </c>
      <c r="O61" s="13" t="str">
        <f t="shared" si="17"/>
        <v>Grounded</v>
      </c>
      <c r="P61" s="14">
        <f t="shared" si="18"/>
        <v>100</v>
      </c>
      <c r="Q61" s="14">
        <f t="shared" si="19"/>
        <v>70</v>
      </c>
      <c r="R61" s="14">
        <f t="shared" si="20"/>
        <v>100</v>
      </c>
      <c r="S61" s="14">
        <f t="shared" si="21"/>
        <v>100</v>
      </c>
      <c r="T61" s="14">
        <f t="shared" si="22"/>
        <v>0</v>
      </c>
      <c r="U61" s="14">
        <f t="shared" si="23"/>
        <v>94</v>
      </c>
      <c r="V61" s="13" t="str">
        <f t="shared" si="24"/>
        <v>Grounded</v>
      </c>
      <c r="W61" s="13" t="str">
        <f t="shared" si="26"/>
        <v>MISSION SUCCESS: The reactor remains offline while the coolant system lowers the temperature, preventing an overheat emergency.</v>
      </c>
      <c r="X61" s="13" t="str">
        <f t="shared" si="27"/>
        <v>MISSION SUCCESS + PROCESS WARNING; trust 70. The reactor remains offline while the coolant system lowers the temperature, preventing an overheat emergency.</v>
      </c>
      <c r="Y61" s="13" t="str">
        <f t="shared" si="25"/>
        <v>Grounded answer | Retrieval 100% | Ranking 70% | Grounding 100% | Citation 100% | Hallucination Risk 0% | Trust 94%</v>
      </c>
      <c r="Z61" s="15"/>
      <c r="AA61" s="16" t="s">
        <v>23</v>
      </c>
      <c r="AB61" s="17"/>
    </row>
    <row r="62" spans="1:28" ht="78" customHeight="1">
      <c r="A62" s="12" t="s">
        <v>264</v>
      </c>
      <c r="B62" s="12" t="s">
        <v>123</v>
      </c>
      <c r="C62" s="12" t="s">
        <v>124</v>
      </c>
      <c r="D62" s="12" t="s">
        <v>125</v>
      </c>
      <c r="E62" s="12" t="s">
        <v>195</v>
      </c>
      <c r="F62" s="12" t="s">
        <v>254</v>
      </c>
      <c r="G62" s="12" t="s">
        <v>197</v>
      </c>
      <c r="H62" s="12" t="s">
        <v>255</v>
      </c>
      <c r="I62" s="12" t="s">
        <v>193</v>
      </c>
      <c r="J62" s="12" t="s">
        <v>253</v>
      </c>
      <c r="K62" s="12" t="s">
        <v>199</v>
      </c>
      <c r="L62" s="12" t="s">
        <v>256</v>
      </c>
      <c r="M62" s="13">
        <f t="shared" si="15"/>
        <v>3</v>
      </c>
      <c r="N62" s="13">
        <f t="shared" si="16"/>
        <v>1</v>
      </c>
      <c r="O62" s="13" t="str">
        <f t="shared" si="17"/>
        <v>Partial</v>
      </c>
      <c r="P62" s="14">
        <f t="shared" si="18"/>
        <v>50</v>
      </c>
      <c r="Q62" s="14">
        <f t="shared" si="19"/>
        <v>55</v>
      </c>
      <c r="R62" s="14">
        <f t="shared" si="20"/>
        <v>60</v>
      </c>
      <c r="S62" s="14">
        <f t="shared" si="21"/>
        <v>50</v>
      </c>
      <c r="T62" s="14">
        <f t="shared" si="22"/>
        <v>40</v>
      </c>
      <c r="U62" s="14">
        <f t="shared" si="23"/>
        <v>55</v>
      </c>
      <c r="V62" s="13" t="str">
        <f t="shared" si="24"/>
        <v>Partial</v>
      </c>
      <c r="W62" s="13" t="str">
        <f t="shared" si="26"/>
        <v>MISSION PROTECTED: Response held for more evidence; Try New Mission.</v>
      </c>
      <c r="X62" s="13" t="str">
        <f t="shared" si="27"/>
        <v>MISSION DELAYED; trust 35. The crew postpones the restart while engineers verify the coolant temperature.</v>
      </c>
      <c r="Y62" s="13" t="str">
        <f t="shared" si="25"/>
        <v>Partial answer | Retrieval 50% | Ranking 55% | Grounding 60% | Citation 50% | Hallucination Risk 40% | Trust 55%</v>
      </c>
      <c r="Z62" s="15"/>
      <c r="AA62" s="16" t="s">
        <v>23</v>
      </c>
      <c r="AB62" s="17"/>
    </row>
    <row r="63" spans="1:28" ht="78" customHeight="1">
      <c r="A63" s="12" t="s">
        <v>265</v>
      </c>
      <c r="B63" s="12" t="s">
        <v>123</v>
      </c>
      <c r="C63" s="12" t="s">
        <v>124</v>
      </c>
      <c r="D63" s="12" t="s">
        <v>125</v>
      </c>
      <c r="E63" s="12" t="s">
        <v>195</v>
      </c>
      <c r="F63" s="12" t="s">
        <v>254</v>
      </c>
      <c r="G63" s="12" t="s">
        <v>197</v>
      </c>
      <c r="H63" s="12" t="s">
        <v>255</v>
      </c>
      <c r="I63" s="12" t="s">
        <v>199</v>
      </c>
      <c r="J63" s="12" t="s">
        <v>256</v>
      </c>
      <c r="K63" s="12" t="s">
        <v>193</v>
      </c>
      <c r="L63" s="12" t="s">
        <v>253</v>
      </c>
      <c r="M63" s="13">
        <f t="shared" si="15"/>
        <v>4</v>
      </c>
      <c r="N63" s="13">
        <f t="shared" si="16"/>
        <v>1</v>
      </c>
      <c r="O63" s="13" t="str">
        <f t="shared" si="17"/>
        <v>Partial</v>
      </c>
      <c r="P63" s="14">
        <f t="shared" si="18"/>
        <v>50</v>
      </c>
      <c r="Q63" s="14">
        <f t="shared" si="19"/>
        <v>40</v>
      </c>
      <c r="R63" s="14">
        <f t="shared" si="20"/>
        <v>60</v>
      </c>
      <c r="S63" s="14">
        <f t="shared" si="21"/>
        <v>50</v>
      </c>
      <c r="T63" s="14">
        <f t="shared" si="22"/>
        <v>40</v>
      </c>
      <c r="U63" s="14">
        <f t="shared" si="23"/>
        <v>52</v>
      </c>
      <c r="V63" s="13" t="str">
        <f t="shared" si="24"/>
        <v>Partial</v>
      </c>
      <c r="W63" s="13" t="str">
        <f t="shared" si="26"/>
        <v>MISSION PROTECTED: Response held for more evidence; Try New Mission.</v>
      </c>
      <c r="X63" s="13" t="str">
        <f t="shared" si="27"/>
        <v>MISSION DELAYED; trust 35. The crew postpones the restart while engineers verify the coolant temperature.</v>
      </c>
      <c r="Y63" s="13" t="str">
        <f t="shared" si="25"/>
        <v>Partial answer | Retrieval 50% | Ranking 40% | Grounding 60% | Citation 50% | Hallucination Risk 40% | Trust 52%</v>
      </c>
      <c r="Z63" s="15"/>
      <c r="AA63" s="16" t="s">
        <v>23</v>
      </c>
      <c r="AB63" s="17"/>
    </row>
    <row r="64" spans="1:28" ht="78" customHeight="1">
      <c r="A64" s="12" t="s">
        <v>266</v>
      </c>
      <c r="B64" s="12" t="s">
        <v>123</v>
      </c>
      <c r="C64" s="12" t="s">
        <v>124</v>
      </c>
      <c r="D64" s="12" t="s">
        <v>125</v>
      </c>
      <c r="E64" s="12" t="s">
        <v>195</v>
      </c>
      <c r="F64" s="12" t="s">
        <v>254</v>
      </c>
      <c r="G64" s="12" t="s">
        <v>199</v>
      </c>
      <c r="H64" s="12" t="s">
        <v>256</v>
      </c>
      <c r="I64" s="12" t="s">
        <v>193</v>
      </c>
      <c r="J64" s="12" t="s">
        <v>253</v>
      </c>
      <c r="K64" s="12" t="s">
        <v>197</v>
      </c>
      <c r="L64" s="12" t="s">
        <v>255</v>
      </c>
      <c r="M64" s="13">
        <f t="shared" si="15"/>
        <v>3</v>
      </c>
      <c r="N64" s="13">
        <f t="shared" si="16"/>
        <v>1</v>
      </c>
      <c r="O64" s="13" t="str">
        <f t="shared" si="17"/>
        <v>Partial</v>
      </c>
      <c r="P64" s="14">
        <f t="shared" si="18"/>
        <v>50</v>
      </c>
      <c r="Q64" s="14">
        <f t="shared" si="19"/>
        <v>55</v>
      </c>
      <c r="R64" s="14">
        <f t="shared" si="20"/>
        <v>60</v>
      </c>
      <c r="S64" s="14">
        <f t="shared" si="21"/>
        <v>50</v>
      </c>
      <c r="T64" s="14">
        <f t="shared" si="22"/>
        <v>40</v>
      </c>
      <c r="U64" s="14">
        <f t="shared" si="23"/>
        <v>55</v>
      </c>
      <c r="V64" s="13" t="str">
        <f t="shared" si="24"/>
        <v>Partial</v>
      </c>
      <c r="W64" s="13" t="str">
        <f t="shared" si="26"/>
        <v>MISSION PROTECTED: Response held for more evidence; Try New Mission.</v>
      </c>
      <c r="X64" s="13" t="str">
        <f t="shared" si="27"/>
        <v>MISSION DELAYED; trust 35. The crew postpones the restart while engineers verify the coolant temperature.</v>
      </c>
      <c r="Y64" s="13" t="str">
        <f t="shared" si="25"/>
        <v>Partial answer | Retrieval 50% | Ranking 55% | Grounding 60% | Citation 50% | Hallucination Risk 40% | Trust 55%</v>
      </c>
      <c r="Z64" s="15"/>
      <c r="AA64" s="16" t="s">
        <v>23</v>
      </c>
      <c r="AB64" s="17"/>
    </row>
    <row r="65" spans="1:28" ht="78" customHeight="1">
      <c r="A65" s="12" t="s">
        <v>267</v>
      </c>
      <c r="B65" s="12" t="s">
        <v>123</v>
      </c>
      <c r="C65" s="12" t="s">
        <v>124</v>
      </c>
      <c r="D65" s="12" t="s">
        <v>125</v>
      </c>
      <c r="E65" s="12" t="s">
        <v>195</v>
      </c>
      <c r="F65" s="12" t="s">
        <v>254</v>
      </c>
      <c r="G65" s="12" t="s">
        <v>199</v>
      </c>
      <c r="H65" s="12" t="s">
        <v>256</v>
      </c>
      <c r="I65" s="12" t="s">
        <v>197</v>
      </c>
      <c r="J65" s="12" t="s">
        <v>255</v>
      </c>
      <c r="K65" s="12" t="s">
        <v>193</v>
      </c>
      <c r="L65" s="12" t="s">
        <v>253</v>
      </c>
      <c r="M65" s="13">
        <f t="shared" si="15"/>
        <v>4</v>
      </c>
      <c r="N65" s="13">
        <f t="shared" si="16"/>
        <v>1</v>
      </c>
      <c r="O65" s="13" t="str">
        <f t="shared" si="17"/>
        <v>Partial</v>
      </c>
      <c r="P65" s="14">
        <f t="shared" si="18"/>
        <v>50</v>
      </c>
      <c r="Q65" s="14">
        <f t="shared" si="19"/>
        <v>40</v>
      </c>
      <c r="R65" s="14">
        <f t="shared" si="20"/>
        <v>60</v>
      </c>
      <c r="S65" s="14">
        <f t="shared" si="21"/>
        <v>50</v>
      </c>
      <c r="T65" s="14">
        <f t="shared" si="22"/>
        <v>40</v>
      </c>
      <c r="U65" s="14">
        <f t="shared" si="23"/>
        <v>52</v>
      </c>
      <c r="V65" s="13" t="str">
        <f t="shared" si="24"/>
        <v>Partial</v>
      </c>
      <c r="W65" s="13" t="str">
        <f t="shared" si="26"/>
        <v>MISSION PROTECTED: Response held for more evidence; Try New Mission.</v>
      </c>
      <c r="X65" s="13" t="str">
        <f t="shared" si="27"/>
        <v>MISSION DELAYED; trust 35. The crew postpones the restart while engineers verify the coolant temperature.</v>
      </c>
      <c r="Y65" s="13" t="str">
        <f t="shared" si="25"/>
        <v>Partial answer | Retrieval 50% | Ranking 40% | Grounding 60% | Citation 50% | Hallucination Risk 40% | Trust 52%</v>
      </c>
      <c r="Z65" s="15"/>
      <c r="AA65" s="16" t="s">
        <v>23</v>
      </c>
      <c r="AB65" s="17"/>
    </row>
    <row r="66" spans="1:28" ht="78" customHeight="1">
      <c r="A66" s="12" t="s">
        <v>268</v>
      </c>
      <c r="B66" s="12" t="s">
        <v>123</v>
      </c>
      <c r="C66" s="12" t="s">
        <v>124</v>
      </c>
      <c r="D66" s="12" t="s">
        <v>125</v>
      </c>
      <c r="E66" s="12" t="s">
        <v>197</v>
      </c>
      <c r="F66" s="12" t="s">
        <v>255</v>
      </c>
      <c r="G66" s="12" t="s">
        <v>193</v>
      </c>
      <c r="H66" s="12" t="s">
        <v>253</v>
      </c>
      <c r="I66" s="12" t="s">
        <v>195</v>
      </c>
      <c r="J66" s="12" t="s">
        <v>254</v>
      </c>
      <c r="K66" s="12" t="s">
        <v>199</v>
      </c>
      <c r="L66" s="12" t="s">
        <v>256</v>
      </c>
      <c r="M66" s="13">
        <f t="shared" si="15"/>
        <v>2</v>
      </c>
      <c r="N66" s="13">
        <f t="shared" si="16"/>
        <v>3</v>
      </c>
      <c r="O66" s="13" t="str">
        <f t="shared" si="17"/>
        <v>Partial</v>
      </c>
      <c r="P66" s="14">
        <f t="shared" si="18"/>
        <v>50</v>
      </c>
      <c r="Q66" s="14">
        <f t="shared" si="19"/>
        <v>70</v>
      </c>
      <c r="R66" s="14">
        <f t="shared" si="20"/>
        <v>60</v>
      </c>
      <c r="S66" s="14">
        <f t="shared" si="21"/>
        <v>50</v>
      </c>
      <c r="T66" s="14">
        <f t="shared" si="22"/>
        <v>40</v>
      </c>
      <c r="U66" s="14">
        <f t="shared" si="23"/>
        <v>58</v>
      </c>
      <c r="V66" s="13" t="str">
        <f t="shared" si="24"/>
        <v>Partial</v>
      </c>
      <c r="W66" s="13" t="str">
        <f t="shared" si="26"/>
        <v>MISSION PROTECTED: Response held for more evidence; Try New Mission.</v>
      </c>
      <c r="X66" s="13" t="str">
        <f t="shared" si="27"/>
        <v>MISSION DELAYED; trust 35. The crew postpones the restart while engineers verify the coolant temperature.</v>
      </c>
      <c r="Y66" s="13" t="str">
        <f t="shared" si="25"/>
        <v>Partial answer | Retrieval 50% | Ranking 70% | Grounding 60% | Citation 50% | Hallucination Risk 40% | Trust 58%</v>
      </c>
      <c r="Z66" s="15"/>
      <c r="AA66" s="16" t="s">
        <v>23</v>
      </c>
      <c r="AB66" s="17"/>
    </row>
    <row r="67" spans="1:28" ht="78" customHeight="1">
      <c r="A67" s="12" t="s">
        <v>269</v>
      </c>
      <c r="B67" s="12" t="s">
        <v>123</v>
      </c>
      <c r="C67" s="12" t="s">
        <v>124</v>
      </c>
      <c r="D67" s="12" t="s">
        <v>125</v>
      </c>
      <c r="E67" s="12" t="s">
        <v>197</v>
      </c>
      <c r="F67" s="12" t="s">
        <v>255</v>
      </c>
      <c r="G67" s="12" t="s">
        <v>193</v>
      </c>
      <c r="H67" s="12" t="s">
        <v>253</v>
      </c>
      <c r="I67" s="12" t="s">
        <v>199</v>
      </c>
      <c r="J67" s="12" t="s">
        <v>256</v>
      </c>
      <c r="K67" s="12" t="s">
        <v>195</v>
      </c>
      <c r="L67" s="12" t="s">
        <v>254</v>
      </c>
      <c r="M67" s="13">
        <f t="shared" si="15"/>
        <v>2</v>
      </c>
      <c r="N67" s="13">
        <f t="shared" si="16"/>
        <v>4</v>
      </c>
      <c r="O67" s="13" t="str">
        <f t="shared" si="17"/>
        <v>Partial</v>
      </c>
      <c r="P67" s="14">
        <f t="shared" si="18"/>
        <v>50</v>
      </c>
      <c r="Q67" s="14">
        <f t="shared" si="19"/>
        <v>55</v>
      </c>
      <c r="R67" s="14">
        <f t="shared" si="20"/>
        <v>60</v>
      </c>
      <c r="S67" s="14">
        <f t="shared" si="21"/>
        <v>50</v>
      </c>
      <c r="T67" s="14">
        <f t="shared" si="22"/>
        <v>40</v>
      </c>
      <c r="U67" s="14">
        <f t="shared" si="23"/>
        <v>55</v>
      </c>
      <c r="V67" s="13" t="str">
        <f t="shared" si="24"/>
        <v>Partial</v>
      </c>
      <c r="W67" s="13" t="str">
        <f t="shared" si="26"/>
        <v>MISSION PROTECTED: Response held for more evidence; Try New Mission.</v>
      </c>
      <c r="X67" s="13" t="str">
        <f t="shared" si="27"/>
        <v>MISSION DELAYED; trust 35. The crew postpones the restart while engineers verify the coolant temperature.</v>
      </c>
      <c r="Y67" s="13" t="str">
        <f t="shared" si="25"/>
        <v>Partial answer | Retrieval 50% | Ranking 55% | Grounding 60% | Citation 50% | Hallucination Risk 40% | Trust 55%</v>
      </c>
      <c r="Z67" s="15"/>
      <c r="AA67" s="16" t="s">
        <v>23</v>
      </c>
      <c r="AB67" s="17"/>
    </row>
    <row r="68" spans="1:28" ht="78" customHeight="1">
      <c r="A68" s="12" t="s">
        <v>270</v>
      </c>
      <c r="B68" s="12" t="s">
        <v>123</v>
      </c>
      <c r="C68" s="12" t="s">
        <v>124</v>
      </c>
      <c r="D68" s="12" t="s">
        <v>125</v>
      </c>
      <c r="E68" s="12" t="s">
        <v>197</v>
      </c>
      <c r="F68" s="12" t="s">
        <v>255</v>
      </c>
      <c r="G68" s="12" t="s">
        <v>195</v>
      </c>
      <c r="H68" s="12" t="s">
        <v>254</v>
      </c>
      <c r="I68" s="12" t="s">
        <v>193</v>
      </c>
      <c r="J68" s="12" t="s">
        <v>253</v>
      </c>
      <c r="K68" s="12" t="s">
        <v>199</v>
      </c>
      <c r="L68" s="12" t="s">
        <v>256</v>
      </c>
      <c r="M68" s="13">
        <f t="shared" si="15"/>
        <v>3</v>
      </c>
      <c r="N68" s="13">
        <f t="shared" si="16"/>
        <v>2</v>
      </c>
      <c r="O68" s="13" t="str">
        <f t="shared" si="17"/>
        <v>Partial</v>
      </c>
      <c r="P68" s="14">
        <f t="shared" si="18"/>
        <v>50</v>
      </c>
      <c r="Q68" s="14">
        <f t="shared" si="19"/>
        <v>70</v>
      </c>
      <c r="R68" s="14">
        <f t="shared" si="20"/>
        <v>60</v>
      </c>
      <c r="S68" s="14">
        <f t="shared" si="21"/>
        <v>50</v>
      </c>
      <c r="T68" s="14">
        <f t="shared" si="22"/>
        <v>40</v>
      </c>
      <c r="U68" s="14">
        <f t="shared" si="23"/>
        <v>58</v>
      </c>
      <c r="V68" s="13" t="str">
        <f t="shared" si="24"/>
        <v>Partial</v>
      </c>
      <c r="W68" s="13" t="str">
        <f t="shared" si="26"/>
        <v>MISSION PROTECTED: Response held for more evidence; Try New Mission.</v>
      </c>
      <c r="X68" s="13" t="str">
        <f t="shared" si="27"/>
        <v>MISSION DELAYED; trust 35. The crew postpones the restart while engineers verify the coolant temperature.</v>
      </c>
      <c r="Y68" s="13" t="str">
        <f t="shared" si="25"/>
        <v>Partial answer | Retrieval 50% | Ranking 70% | Grounding 60% | Citation 50% | Hallucination Risk 40% | Trust 58%</v>
      </c>
      <c r="Z68" s="15"/>
      <c r="AA68" s="16" t="s">
        <v>23</v>
      </c>
      <c r="AB68" s="17"/>
    </row>
    <row r="69" spans="1:28" ht="78" customHeight="1">
      <c r="A69" s="12" t="s">
        <v>271</v>
      </c>
      <c r="B69" s="12" t="s">
        <v>123</v>
      </c>
      <c r="C69" s="12" t="s">
        <v>124</v>
      </c>
      <c r="D69" s="12" t="s">
        <v>125</v>
      </c>
      <c r="E69" s="12" t="s">
        <v>197</v>
      </c>
      <c r="F69" s="12" t="s">
        <v>255</v>
      </c>
      <c r="G69" s="12" t="s">
        <v>195</v>
      </c>
      <c r="H69" s="12" t="s">
        <v>254</v>
      </c>
      <c r="I69" s="12" t="s">
        <v>199</v>
      </c>
      <c r="J69" s="12" t="s">
        <v>256</v>
      </c>
      <c r="K69" s="12" t="s">
        <v>193</v>
      </c>
      <c r="L69" s="12" t="s">
        <v>253</v>
      </c>
      <c r="M69" s="13">
        <f t="shared" si="15"/>
        <v>4</v>
      </c>
      <c r="N69" s="13">
        <f t="shared" si="16"/>
        <v>2</v>
      </c>
      <c r="O69" s="13" t="str">
        <f t="shared" si="17"/>
        <v>Partial</v>
      </c>
      <c r="P69" s="14">
        <f t="shared" si="18"/>
        <v>50</v>
      </c>
      <c r="Q69" s="14">
        <f t="shared" si="19"/>
        <v>55</v>
      </c>
      <c r="R69" s="14">
        <f t="shared" si="20"/>
        <v>60</v>
      </c>
      <c r="S69" s="14">
        <f t="shared" si="21"/>
        <v>50</v>
      </c>
      <c r="T69" s="14">
        <f t="shared" si="22"/>
        <v>40</v>
      </c>
      <c r="U69" s="14">
        <f t="shared" si="23"/>
        <v>55</v>
      </c>
      <c r="V69" s="13" t="str">
        <f t="shared" si="24"/>
        <v>Partial</v>
      </c>
      <c r="W69" s="13" t="str">
        <f t="shared" si="26"/>
        <v>MISSION PROTECTED: Response held for more evidence; Try New Mission.</v>
      </c>
      <c r="X69" s="13" t="str">
        <f t="shared" si="27"/>
        <v>MISSION DELAYED; trust 35. The crew postpones the restart while engineers verify the coolant temperature.</v>
      </c>
      <c r="Y69" s="13" t="str">
        <f t="shared" si="25"/>
        <v>Partial answer | Retrieval 50% | Ranking 55% | Grounding 60% | Citation 50% | Hallucination Risk 40% | Trust 55%</v>
      </c>
      <c r="Z69" s="15"/>
      <c r="AA69" s="16" t="s">
        <v>23</v>
      </c>
      <c r="AB69" s="17"/>
    </row>
    <row r="70" spans="1:28" ht="78" customHeight="1">
      <c r="A70" s="12" t="s">
        <v>272</v>
      </c>
      <c r="B70" s="12" t="s">
        <v>123</v>
      </c>
      <c r="C70" s="12" t="s">
        <v>124</v>
      </c>
      <c r="D70" s="12" t="s">
        <v>125</v>
      </c>
      <c r="E70" s="12" t="s">
        <v>197</v>
      </c>
      <c r="F70" s="12" t="s">
        <v>255</v>
      </c>
      <c r="G70" s="12" t="s">
        <v>199</v>
      </c>
      <c r="H70" s="12" t="s">
        <v>256</v>
      </c>
      <c r="I70" s="12" t="s">
        <v>193</v>
      </c>
      <c r="J70" s="12" t="s">
        <v>253</v>
      </c>
      <c r="K70" s="12" t="s">
        <v>195</v>
      </c>
      <c r="L70" s="12" t="s">
        <v>254</v>
      </c>
      <c r="M70" s="13">
        <f t="shared" ref="M70:M101" si="28">IF(E70="K1",1,IF(G70="K1",2,IF(I70="K1",3,4)))</f>
        <v>3</v>
      </c>
      <c r="N70" s="13">
        <f t="shared" ref="N70:N101" si="29">IF(E70="K2",1,IF(G70="K2",2,IF(I70="K2",3,4)))</f>
        <v>4</v>
      </c>
      <c r="O70" s="13" t="str">
        <f t="shared" ref="O70:O101" si="30">IF(AND(M70&lt;=2,N70&lt;=2),"Grounded",IF(OR(M70&lt;=2,N70&lt;=2),"Partial","Risky"))</f>
        <v>Risky</v>
      </c>
      <c r="P70" s="14">
        <f t="shared" ref="P70:P101" si="31">IF(O70="Grounded",100,IF(O70="Partial",50,0))</f>
        <v>0</v>
      </c>
      <c r="Q70" s="14">
        <f t="shared" ref="Q70:Q101" si="32">MAX(0,50-ABS(M70-1)*15)+MAX(0,50-ABS(N70-2)*15)</f>
        <v>40</v>
      </c>
      <c r="R70" s="14">
        <f t="shared" ref="R70:R101" si="33">IF(O70="Grounded",100,IF(O70="Partial",60,10))</f>
        <v>10</v>
      </c>
      <c r="S70" s="14">
        <f t="shared" ref="S70:S101" si="34">IF(O70="Grounded",100,IF(O70="Partial",50,0))</f>
        <v>0</v>
      </c>
      <c r="T70" s="14">
        <f t="shared" ref="T70:T101" si="35">IF(O70="Grounded",0,IF(O70="Partial",40,90))</f>
        <v>90</v>
      </c>
      <c r="U70" s="14">
        <f t="shared" ref="U70:U101" si="36">ROUND((P70+Q70+R70+S70+(100-T70))/5,0)</f>
        <v>12</v>
      </c>
      <c r="V70" s="13" t="str">
        <f t="shared" ref="V70:V101" si="37">O70</f>
        <v>Risky</v>
      </c>
      <c r="W70" s="13" t="str">
        <f t="shared" si="26"/>
        <v>RISK BLOCKED: Unsupported action prevented; Try New Mission.</v>
      </c>
      <c r="X70" s="13" t="str">
        <f t="shared" si="27"/>
        <v>GAME OVER; trust 5. The reactor restarts while overheated, triggering a reactor fire and an emergency power shutdown.</v>
      </c>
      <c r="Y70" s="13" t="str">
        <f t="shared" ref="Y70:Z101" si="38">O70&amp;" answer | Retrieval "&amp;P70&amp;"% | Ranking "&amp;Q70&amp;"% | Grounding "&amp;R70&amp;"% | Citation "&amp;S70&amp;"% | Hallucination Risk "&amp;T70&amp;"% | Trust "&amp;U70&amp;"%"</f>
        <v>Risky answer | Retrieval 0% | Ranking 40% | Grounding 10% | Citation 0% | Hallucination Risk 90% | Trust 12%</v>
      </c>
      <c r="Z70" s="15"/>
      <c r="AA70" s="16" t="s">
        <v>23</v>
      </c>
      <c r="AB70" s="17"/>
    </row>
    <row r="71" spans="1:28" ht="78" customHeight="1">
      <c r="A71" s="12" t="s">
        <v>273</v>
      </c>
      <c r="B71" s="12" t="s">
        <v>123</v>
      </c>
      <c r="C71" s="12" t="s">
        <v>124</v>
      </c>
      <c r="D71" s="12" t="s">
        <v>125</v>
      </c>
      <c r="E71" s="12" t="s">
        <v>197</v>
      </c>
      <c r="F71" s="12" t="s">
        <v>255</v>
      </c>
      <c r="G71" s="12" t="s">
        <v>199</v>
      </c>
      <c r="H71" s="12" t="s">
        <v>256</v>
      </c>
      <c r="I71" s="12" t="s">
        <v>195</v>
      </c>
      <c r="J71" s="12" t="s">
        <v>254</v>
      </c>
      <c r="K71" s="12" t="s">
        <v>193</v>
      </c>
      <c r="L71" s="12" t="s">
        <v>253</v>
      </c>
      <c r="M71" s="13">
        <f t="shared" si="28"/>
        <v>4</v>
      </c>
      <c r="N71" s="13">
        <f t="shared" si="29"/>
        <v>3</v>
      </c>
      <c r="O71" s="13" t="str">
        <f t="shared" si="30"/>
        <v>Risky</v>
      </c>
      <c r="P71" s="14">
        <f t="shared" si="31"/>
        <v>0</v>
      </c>
      <c r="Q71" s="14">
        <f t="shared" si="32"/>
        <v>40</v>
      </c>
      <c r="R71" s="14">
        <f t="shared" si="33"/>
        <v>10</v>
      </c>
      <c r="S71" s="14">
        <f t="shared" si="34"/>
        <v>0</v>
      </c>
      <c r="T71" s="14">
        <f t="shared" si="35"/>
        <v>90</v>
      </c>
      <c r="U71" s="14">
        <f t="shared" si="36"/>
        <v>12</v>
      </c>
      <c r="V71" s="13" t="str">
        <f t="shared" si="37"/>
        <v>Risky</v>
      </c>
      <c r="W71" s="13" t="str">
        <f t="shared" si="26"/>
        <v>RISK BLOCKED: Unsupported action prevented; Try New Mission.</v>
      </c>
      <c r="X71" s="13" t="str">
        <f t="shared" si="27"/>
        <v>GAME OVER; trust 5. The reactor restarts while overheated, triggering a reactor fire and an emergency power shutdown.</v>
      </c>
      <c r="Y71" s="13" t="str">
        <f t="shared" si="38"/>
        <v>Risky answer | Retrieval 0% | Ranking 40% | Grounding 10% | Citation 0% | Hallucination Risk 90% | Trust 12%</v>
      </c>
      <c r="Z71" s="15"/>
      <c r="AA71" s="16" t="s">
        <v>23</v>
      </c>
      <c r="AB71" s="17"/>
    </row>
    <row r="72" spans="1:28" ht="78" customHeight="1">
      <c r="A72" s="12" t="s">
        <v>274</v>
      </c>
      <c r="B72" s="12" t="s">
        <v>123</v>
      </c>
      <c r="C72" s="12" t="s">
        <v>124</v>
      </c>
      <c r="D72" s="12" t="s">
        <v>125</v>
      </c>
      <c r="E72" s="12" t="s">
        <v>199</v>
      </c>
      <c r="F72" s="12" t="s">
        <v>256</v>
      </c>
      <c r="G72" s="12" t="s">
        <v>193</v>
      </c>
      <c r="H72" s="12" t="s">
        <v>253</v>
      </c>
      <c r="I72" s="12" t="s">
        <v>195</v>
      </c>
      <c r="J72" s="12" t="s">
        <v>254</v>
      </c>
      <c r="K72" s="12" t="s">
        <v>197</v>
      </c>
      <c r="L72" s="12" t="s">
        <v>255</v>
      </c>
      <c r="M72" s="13">
        <f t="shared" si="28"/>
        <v>2</v>
      </c>
      <c r="N72" s="13">
        <f t="shared" si="29"/>
        <v>3</v>
      </c>
      <c r="O72" s="13" t="str">
        <f t="shared" si="30"/>
        <v>Partial</v>
      </c>
      <c r="P72" s="14">
        <f t="shared" si="31"/>
        <v>50</v>
      </c>
      <c r="Q72" s="14">
        <f t="shared" si="32"/>
        <v>70</v>
      </c>
      <c r="R72" s="14">
        <f t="shared" si="33"/>
        <v>60</v>
      </c>
      <c r="S72" s="14">
        <f t="shared" si="34"/>
        <v>50</v>
      </c>
      <c r="T72" s="14">
        <f t="shared" si="35"/>
        <v>40</v>
      </c>
      <c r="U72" s="14">
        <f t="shared" si="36"/>
        <v>58</v>
      </c>
      <c r="V72" s="13" t="str">
        <f t="shared" si="37"/>
        <v>Partial</v>
      </c>
      <c r="W72" s="13" t="str">
        <f t="shared" si="26"/>
        <v>MISSION PROTECTED: Response held for more evidence; Try New Mission.</v>
      </c>
      <c r="X72" s="13" t="str">
        <f t="shared" si="27"/>
        <v>MISSION DELAYED; trust 35. The crew postpones the restart while engineers verify the coolant temperature.</v>
      </c>
      <c r="Y72" s="13" t="str">
        <f t="shared" si="38"/>
        <v>Partial answer | Retrieval 50% | Ranking 70% | Grounding 60% | Citation 50% | Hallucination Risk 40% | Trust 58%</v>
      </c>
      <c r="Z72" s="15"/>
      <c r="AA72" s="16" t="s">
        <v>23</v>
      </c>
      <c r="AB72" s="17"/>
    </row>
    <row r="73" spans="1:28" ht="78" customHeight="1">
      <c r="A73" s="12" t="s">
        <v>275</v>
      </c>
      <c r="B73" s="12" t="s">
        <v>123</v>
      </c>
      <c r="C73" s="12" t="s">
        <v>124</v>
      </c>
      <c r="D73" s="12" t="s">
        <v>125</v>
      </c>
      <c r="E73" s="12" t="s">
        <v>199</v>
      </c>
      <c r="F73" s="12" t="s">
        <v>256</v>
      </c>
      <c r="G73" s="12" t="s">
        <v>193</v>
      </c>
      <c r="H73" s="12" t="s">
        <v>253</v>
      </c>
      <c r="I73" s="12" t="s">
        <v>197</v>
      </c>
      <c r="J73" s="12" t="s">
        <v>255</v>
      </c>
      <c r="K73" s="12" t="s">
        <v>195</v>
      </c>
      <c r="L73" s="12" t="s">
        <v>254</v>
      </c>
      <c r="M73" s="13">
        <f t="shared" si="28"/>
        <v>2</v>
      </c>
      <c r="N73" s="13">
        <f t="shared" si="29"/>
        <v>4</v>
      </c>
      <c r="O73" s="13" t="str">
        <f t="shared" si="30"/>
        <v>Partial</v>
      </c>
      <c r="P73" s="14">
        <f t="shared" si="31"/>
        <v>50</v>
      </c>
      <c r="Q73" s="14">
        <f t="shared" si="32"/>
        <v>55</v>
      </c>
      <c r="R73" s="14">
        <f t="shared" si="33"/>
        <v>60</v>
      </c>
      <c r="S73" s="14">
        <f t="shared" si="34"/>
        <v>50</v>
      </c>
      <c r="T73" s="14">
        <f t="shared" si="35"/>
        <v>40</v>
      </c>
      <c r="U73" s="14">
        <f t="shared" si="36"/>
        <v>55</v>
      </c>
      <c r="V73" s="13" t="str">
        <f t="shared" si="37"/>
        <v>Partial</v>
      </c>
      <c r="W73" s="13" t="str">
        <f t="shared" si="26"/>
        <v>MISSION PROTECTED: Response held for more evidence; Try New Mission.</v>
      </c>
      <c r="X73" s="13" t="str">
        <f t="shared" si="27"/>
        <v>MISSION DELAYED; trust 35. The crew postpones the restart while engineers verify the coolant temperature.</v>
      </c>
      <c r="Y73" s="13" t="str">
        <f t="shared" si="38"/>
        <v>Partial answer | Retrieval 50% | Ranking 55% | Grounding 60% | Citation 50% | Hallucination Risk 40% | Trust 55%</v>
      </c>
      <c r="Z73" s="15"/>
      <c r="AA73" s="16" t="s">
        <v>23</v>
      </c>
      <c r="AB73" s="17"/>
    </row>
    <row r="74" spans="1:28" ht="78" customHeight="1">
      <c r="A74" s="12" t="s">
        <v>276</v>
      </c>
      <c r="B74" s="12" t="s">
        <v>123</v>
      </c>
      <c r="C74" s="12" t="s">
        <v>124</v>
      </c>
      <c r="D74" s="12" t="s">
        <v>125</v>
      </c>
      <c r="E74" s="12" t="s">
        <v>199</v>
      </c>
      <c r="F74" s="12" t="s">
        <v>256</v>
      </c>
      <c r="G74" s="12" t="s">
        <v>195</v>
      </c>
      <c r="H74" s="12" t="s">
        <v>254</v>
      </c>
      <c r="I74" s="12" t="s">
        <v>193</v>
      </c>
      <c r="J74" s="12" t="s">
        <v>253</v>
      </c>
      <c r="K74" s="12" t="s">
        <v>197</v>
      </c>
      <c r="L74" s="12" t="s">
        <v>255</v>
      </c>
      <c r="M74" s="13">
        <f t="shared" si="28"/>
        <v>3</v>
      </c>
      <c r="N74" s="13">
        <f t="shared" si="29"/>
        <v>2</v>
      </c>
      <c r="O74" s="13" t="str">
        <f t="shared" si="30"/>
        <v>Partial</v>
      </c>
      <c r="P74" s="14">
        <f t="shared" si="31"/>
        <v>50</v>
      </c>
      <c r="Q74" s="14">
        <f t="shared" si="32"/>
        <v>70</v>
      </c>
      <c r="R74" s="14">
        <f t="shared" si="33"/>
        <v>60</v>
      </c>
      <c r="S74" s="14">
        <f t="shared" si="34"/>
        <v>50</v>
      </c>
      <c r="T74" s="14">
        <f t="shared" si="35"/>
        <v>40</v>
      </c>
      <c r="U74" s="14">
        <f t="shared" si="36"/>
        <v>58</v>
      </c>
      <c r="V74" s="13" t="str">
        <f t="shared" si="37"/>
        <v>Partial</v>
      </c>
      <c r="W74" s="13" t="str">
        <f t="shared" si="26"/>
        <v>MISSION PROTECTED: Response held for more evidence; Try New Mission.</v>
      </c>
      <c r="X74" s="13" t="str">
        <f t="shared" si="27"/>
        <v>MISSION DELAYED; trust 35. The crew postpones the restart while engineers verify the coolant temperature.</v>
      </c>
      <c r="Y74" s="13" t="str">
        <f t="shared" si="38"/>
        <v>Partial answer | Retrieval 50% | Ranking 70% | Grounding 60% | Citation 50% | Hallucination Risk 40% | Trust 58%</v>
      </c>
      <c r="Z74" s="15"/>
      <c r="AA74" s="16" t="s">
        <v>23</v>
      </c>
      <c r="AB74" s="17"/>
    </row>
    <row r="75" spans="1:28" ht="78" customHeight="1">
      <c r="A75" s="12" t="s">
        <v>277</v>
      </c>
      <c r="B75" s="12" t="s">
        <v>123</v>
      </c>
      <c r="C75" s="12" t="s">
        <v>124</v>
      </c>
      <c r="D75" s="12" t="s">
        <v>125</v>
      </c>
      <c r="E75" s="12" t="s">
        <v>199</v>
      </c>
      <c r="F75" s="12" t="s">
        <v>256</v>
      </c>
      <c r="G75" s="12" t="s">
        <v>195</v>
      </c>
      <c r="H75" s="12" t="s">
        <v>254</v>
      </c>
      <c r="I75" s="12" t="s">
        <v>197</v>
      </c>
      <c r="J75" s="12" t="s">
        <v>255</v>
      </c>
      <c r="K75" s="12" t="s">
        <v>193</v>
      </c>
      <c r="L75" s="12" t="s">
        <v>253</v>
      </c>
      <c r="M75" s="13">
        <f t="shared" si="28"/>
        <v>4</v>
      </c>
      <c r="N75" s="13">
        <f t="shared" si="29"/>
        <v>2</v>
      </c>
      <c r="O75" s="13" t="str">
        <f t="shared" si="30"/>
        <v>Partial</v>
      </c>
      <c r="P75" s="14">
        <f t="shared" si="31"/>
        <v>50</v>
      </c>
      <c r="Q75" s="14">
        <f t="shared" si="32"/>
        <v>55</v>
      </c>
      <c r="R75" s="14">
        <f t="shared" si="33"/>
        <v>60</v>
      </c>
      <c r="S75" s="14">
        <f t="shared" si="34"/>
        <v>50</v>
      </c>
      <c r="T75" s="14">
        <f t="shared" si="35"/>
        <v>40</v>
      </c>
      <c r="U75" s="14">
        <f t="shared" si="36"/>
        <v>55</v>
      </c>
      <c r="V75" s="13" t="str">
        <f t="shared" si="37"/>
        <v>Partial</v>
      </c>
      <c r="W75" s="13" t="str">
        <f t="shared" si="26"/>
        <v>MISSION PROTECTED: Response held for more evidence; Try New Mission.</v>
      </c>
      <c r="X75" s="13" t="str">
        <f t="shared" si="27"/>
        <v>MISSION DELAYED; trust 35. The crew postpones the restart while engineers verify the coolant temperature.</v>
      </c>
      <c r="Y75" s="13" t="str">
        <f t="shared" si="38"/>
        <v>Partial answer | Retrieval 50% | Ranking 55% | Grounding 60% | Citation 50% | Hallucination Risk 40% | Trust 55%</v>
      </c>
      <c r="Z75" s="15"/>
      <c r="AA75" s="16" t="s">
        <v>23</v>
      </c>
      <c r="AB75" s="17"/>
    </row>
    <row r="76" spans="1:28" ht="78" customHeight="1">
      <c r="A76" s="12" t="s">
        <v>278</v>
      </c>
      <c r="B76" s="12" t="s">
        <v>123</v>
      </c>
      <c r="C76" s="12" t="s">
        <v>124</v>
      </c>
      <c r="D76" s="12" t="s">
        <v>125</v>
      </c>
      <c r="E76" s="12" t="s">
        <v>199</v>
      </c>
      <c r="F76" s="12" t="s">
        <v>256</v>
      </c>
      <c r="G76" s="12" t="s">
        <v>197</v>
      </c>
      <c r="H76" s="12" t="s">
        <v>255</v>
      </c>
      <c r="I76" s="12" t="s">
        <v>193</v>
      </c>
      <c r="J76" s="12" t="s">
        <v>253</v>
      </c>
      <c r="K76" s="12" t="s">
        <v>195</v>
      </c>
      <c r="L76" s="12" t="s">
        <v>254</v>
      </c>
      <c r="M76" s="13">
        <f t="shared" si="28"/>
        <v>3</v>
      </c>
      <c r="N76" s="13">
        <f t="shared" si="29"/>
        <v>4</v>
      </c>
      <c r="O76" s="13" t="str">
        <f t="shared" si="30"/>
        <v>Risky</v>
      </c>
      <c r="P76" s="14">
        <f t="shared" si="31"/>
        <v>0</v>
      </c>
      <c r="Q76" s="14">
        <f t="shared" si="32"/>
        <v>40</v>
      </c>
      <c r="R76" s="14">
        <f t="shared" si="33"/>
        <v>10</v>
      </c>
      <c r="S76" s="14">
        <f t="shared" si="34"/>
        <v>0</v>
      </c>
      <c r="T76" s="14">
        <f t="shared" si="35"/>
        <v>90</v>
      </c>
      <c r="U76" s="14">
        <f t="shared" si="36"/>
        <v>12</v>
      </c>
      <c r="V76" s="13" t="str">
        <f t="shared" si="37"/>
        <v>Risky</v>
      </c>
      <c r="W76" s="13" t="str">
        <f t="shared" si="26"/>
        <v>RISK BLOCKED: Unsupported action prevented; Try New Mission.</v>
      </c>
      <c r="X76" s="13" t="str">
        <f t="shared" si="27"/>
        <v>GAME OVER; trust 5. The reactor restarts while overheated, triggering a reactor fire and an emergency power shutdown.</v>
      </c>
      <c r="Y76" s="13" t="str">
        <f t="shared" si="38"/>
        <v>Risky answer | Retrieval 0% | Ranking 40% | Grounding 10% | Citation 0% | Hallucination Risk 90% | Trust 12%</v>
      </c>
      <c r="Z76" s="15"/>
      <c r="AA76" s="16" t="s">
        <v>23</v>
      </c>
      <c r="AB76" s="17"/>
    </row>
    <row r="77" spans="1:28" ht="78" customHeight="1">
      <c r="A77" s="12" t="s">
        <v>279</v>
      </c>
      <c r="B77" s="12" t="s">
        <v>123</v>
      </c>
      <c r="C77" s="12" t="s">
        <v>124</v>
      </c>
      <c r="D77" s="12" t="s">
        <v>125</v>
      </c>
      <c r="E77" s="12" t="s">
        <v>199</v>
      </c>
      <c r="F77" s="12" t="s">
        <v>256</v>
      </c>
      <c r="G77" s="12" t="s">
        <v>197</v>
      </c>
      <c r="H77" s="12" t="s">
        <v>255</v>
      </c>
      <c r="I77" s="12" t="s">
        <v>195</v>
      </c>
      <c r="J77" s="12" t="s">
        <v>254</v>
      </c>
      <c r="K77" s="12" t="s">
        <v>193</v>
      </c>
      <c r="L77" s="12" t="s">
        <v>253</v>
      </c>
      <c r="M77" s="13">
        <f t="shared" si="28"/>
        <v>4</v>
      </c>
      <c r="N77" s="13">
        <f t="shared" si="29"/>
        <v>3</v>
      </c>
      <c r="O77" s="13" t="str">
        <f t="shared" si="30"/>
        <v>Risky</v>
      </c>
      <c r="P77" s="14">
        <f t="shared" si="31"/>
        <v>0</v>
      </c>
      <c r="Q77" s="14">
        <f t="shared" si="32"/>
        <v>40</v>
      </c>
      <c r="R77" s="14">
        <f t="shared" si="33"/>
        <v>10</v>
      </c>
      <c r="S77" s="14">
        <f t="shared" si="34"/>
        <v>0</v>
      </c>
      <c r="T77" s="14">
        <f t="shared" si="35"/>
        <v>90</v>
      </c>
      <c r="U77" s="14">
        <f t="shared" si="36"/>
        <v>12</v>
      </c>
      <c r="V77" s="13" t="str">
        <f t="shared" si="37"/>
        <v>Risky</v>
      </c>
      <c r="W77" s="13" t="str">
        <f t="shared" si="26"/>
        <v>RISK BLOCKED: Unsupported action prevented; Try New Mission.</v>
      </c>
      <c r="X77" s="13" t="str">
        <f t="shared" si="27"/>
        <v>GAME OVER; trust 5. The reactor restarts while overheated, triggering a reactor fire and an emergency power shutdown.</v>
      </c>
      <c r="Y77" s="13" t="str">
        <f t="shared" si="38"/>
        <v>Risky answer | Retrieval 0% | Ranking 40% | Grounding 10% | Citation 0% | Hallucination Risk 90% | Trust 12%</v>
      </c>
      <c r="Z77" s="15"/>
      <c r="AA77" s="16" t="s">
        <v>23</v>
      </c>
      <c r="AB77" s="17"/>
    </row>
    <row r="78" spans="1:28" ht="78" customHeight="1">
      <c r="A78" s="12" t="s">
        <v>280</v>
      </c>
      <c r="B78" s="12" t="s">
        <v>138</v>
      </c>
      <c r="C78" s="12" t="s">
        <v>139</v>
      </c>
      <c r="D78" s="12" t="s">
        <v>140</v>
      </c>
      <c r="E78" s="12" t="s">
        <v>193</v>
      </c>
      <c r="F78" s="12" t="s">
        <v>281</v>
      </c>
      <c r="G78" s="12" t="s">
        <v>195</v>
      </c>
      <c r="H78" s="12" t="s">
        <v>282</v>
      </c>
      <c r="I78" s="12" t="s">
        <v>197</v>
      </c>
      <c r="J78" s="12" t="s">
        <v>283</v>
      </c>
      <c r="K78" s="12" t="s">
        <v>199</v>
      </c>
      <c r="L78" s="12" t="s">
        <v>284</v>
      </c>
      <c r="M78" s="13">
        <f t="shared" si="28"/>
        <v>1</v>
      </c>
      <c r="N78" s="13">
        <f t="shared" si="29"/>
        <v>2</v>
      </c>
      <c r="O78" s="13" t="str">
        <f t="shared" si="30"/>
        <v>Grounded</v>
      </c>
      <c r="P78" s="14">
        <f t="shared" si="31"/>
        <v>100</v>
      </c>
      <c r="Q78" s="14">
        <f t="shared" si="32"/>
        <v>100</v>
      </c>
      <c r="R78" s="14">
        <f t="shared" si="33"/>
        <v>100</v>
      </c>
      <c r="S78" s="14">
        <f t="shared" si="34"/>
        <v>100</v>
      </c>
      <c r="T78" s="14">
        <f t="shared" si="35"/>
        <v>0</v>
      </c>
      <c r="U78" s="14">
        <f t="shared" si="36"/>
        <v>100</v>
      </c>
      <c r="V78" s="13" t="str">
        <f t="shared" si="37"/>
        <v>Grounded</v>
      </c>
      <c r="W78" s="13" t="str">
        <f t="shared" ref="W78:W101" si="39">IF(O78="Grounded","MISSION SUCCESS: The thrusters remain locked until the technician leaves the safety zone, preventing an EVA accident.",IF(O78="Partial","MISSION PROTECTED: Response held for more evidence; Try New Mission.","RISK BLOCKED: Unsupported action prevented; Try New Mission."))</f>
        <v>MISSION SUCCESS: The thrusters remain locked until the technician leaves the safety zone, preventing an EVA accident.</v>
      </c>
      <c r="X78" s="13" t="str">
        <f t="shared" ref="X78:X101" si="40">IF(O78="Grounded","MISSION SUCCESS + PROCESS WARNING; trust 70. The thrusters remain locked until the technician leaves the safety zone, preventing an EVA accident.",IF(O78="Partial","MISSION DELAYED; trust 35. The maneuver is postponed while the crew confirms the technician's location.","GAME OVER; trust 5. The thruster blast pushes the technician away from the ship and damages critical spacesuit equipment."))</f>
        <v>MISSION SUCCESS + PROCESS WARNING; trust 70. The thrusters remain locked until the technician leaves the safety zone, preventing an EVA accident.</v>
      </c>
      <c r="Y78" s="13" t="str">
        <f t="shared" si="38"/>
        <v>Grounded answer | Retrieval 100% | Ranking 100% | Grounding 100% | Citation 100% | Hallucination Risk 0% | Trust 100%</v>
      </c>
      <c r="Z78" s="13" t="str">
        <f t="shared" si="38"/>
        <v>100 answer | Retrieval 100% | Ranking 100% | Grounding 100% | Citation 0% | Hallucination Risk 100% | Trust Grounded%</v>
      </c>
      <c r="AA78" s="16" t="s">
        <v>618</v>
      </c>
      <c r="AB78" s="17"/>
    </row>
    <row r="79" spans="1:28" ht="78" customHeight="1">
      <c r="A79" s="12" t="s">
        <v>285</v>
      </c>
      <c r="B79" s="12" t="s">
        <v>138</v>
      </c>
      <c r="C79" s="12" t="s">
        <v>139</v>
      </c>
      <c r="D79" s="12" t="s">
        <v>140</v>
      </c>
      <c r="E79" s="12" t="s">
        <v>193</v>
      </c>
      <c r="F79" s="12" t="s">
        <v>281</v>
      </c>
      <c r="G79" s="12" t="s">
        <v>195</v>
      </c>
      <c r="H79" s="12" t="s">
        <v>282</v>
      </c>
      <c r="I79" s="12" t="s">
        <v>199</v>
      </c>
      <c r="J79" s="12" t="s">
        <v>284</v>
      </c>
      <c r="K79" s="12" t="s">
        <v>197</v>
      </c>
      <c r="L79" s="12" t="s">
        <v>283</v>
      </c>
      <c r="M79" s="13">
        <f t="shared" si="28"/>
        <v>1</v>
      </c>
      <c r="N79" s="13">
        <f t="shared" si="29"/>
        <v>2</v>
      </c>
      <c r="O79" s="13" t="str">
        <f t="shared" si="30"/>
        <v>Grounded</v>
      </c>
      <c r="P79" s="14">
        <f t="shared" si="31"/>
        <v>100</v>
      </c>
      <c r="Q79" s="14">
        <f t="shared" si="32"/>
        <v>100</v>
      </c>
      <c r="R79" s="14">
        <f t="shared" si="33"/>
        <v>100</v>
      </c>
      <c r="S79" s="14">
        <f t="shared" si="34"/>
        <v>100</v>
      </c>
      <c r="T79" s="14">
        <f t="shared" si="35"/>
        <v>0</v>
      </c>
      <c r="U79" s="14">
        <f t="shared" si="36"/>
        <v>100</v>
      </c>
      <c r="V79" s="13" t="str">
        <f t="shared" si="37"/>
        <v>Grounded</v>
      </c>
      <c r="W79" s="13" t="str">
        <f t="shared" si="39"/>
        <v>MISSION SUCCESS: The thrusters remain locked until the technician leaves the safety zone, preventing an EVA accident.</v>
      </c>
      <c r="X79" s="13" t="str">
        <f t="shared" si="40"/>
        <v>MISSION SUCCESS + PROCESS WARNING; trust 70. The thrusters remain locked until the technician leaves the safety zone, preventing an EVA accident.</v>
      </c>
      <c r="Y79" s="13" t="str">
        <f t="shared" si="38"/>
        <v>Grounded answer | Retrieval 100% | Ranking 100% | Grounding 100% | Citation 100% | Hallucination Risk 0% | Trust 100%</v>
      </c>
      <c r="Z79" s="15"/>
      <c r="AA79" s="16" t="s">
        <v>23</v>
      </c>
      <c r="AB79" s="17"/>
    </row>
    <row r="80" spans="1:28" ht="78" customHeight="1">
      <c r="A80" s="12" t="s">
        <v>286</v>
      </c>
      <c r="B80" s="12" t="s">
        <v>138</v>
      </c>
      <c r="C80" s="12" t="s">
        <v>139</v>
      </c>
      <c r="D80" s="12" t="s">
        <v>140</v>
      </c>
      <c r="E80" s="12" t="s">
        <v>193</v>
      </c>
      <c r="F80" s="12" t="s">
        <v>281</v>
      </c>
      <c r="G80" s="12" t="s">
        <v>197</v>
      </c>
      <c r="H80" s="12" t="s">
        <v>283</v>
      </c>
      <c r="I80" s="12" t="s">
        <v>195</v>
      </c>
      <c r="J80" s="12" t="s">
        <v>282</v>
      </c>
      <c r="K80" s="12" t="s">
        <v>199</v>
      </c>
      <c r="L80" s="12" t="s">
        <v>284</v>
      </c>
      <c r="M80" s="13">
        <f t="shared" si="28"/>
        <v>1</v>
      </c>
      <c r="N80" s="13">
        <f t="shared" si="29"/>
        <v>3</v>
      </c>
      <c r="O80" s="13" t="str">
        <f t="shared" si="30"/>
        <v>Partial</v>
      </c>
      <c r="P80" s="14">
        <f t="shared" si="31"/>
        <v>50</v>
      </c>
      <c r="Q80" s="14">
        <f t="shared" si="32"/>
        <v>85</v>
      </c>
      <c r="R80" s="14">
        <f t="shared" si="33"/>
        <v>60</v>
      </c>
      <c r="S80" s="14">
        <f t="shared" si="34"/>
        <v>50</v>
      </c>
      <c r="T80" s="14">
        <f t="shared" si="35"/>
        <v>40</v>
      </c>
      <c r="U80" s="14">
        <f t="shared" si="36"/>
        <v>61</v>
      </c>
      <c r="V80" s="13" t="str">
        <f t="shared" si="37"/>
        <v>Partial</v>
      </c>
      <c r="W80" s="13" t="str">
        <f t="shared" si="39"/>
        <v>MISSION PROTECTED: Response held for more evidence; Try New Mission.</v>
      </c>
      <c r="X80" s="13" t="str">
        <f t="shared" si="40"/>
        <v>MISSION DELAYED; trust 35. The maneuver is postponed while the crew confirms the technician's location.</v>
      </c>
      <c r="Y80" s="13" t="str">
        <f t="shared" si="38"/>
        <v>Partial answer | Retrieval 50% | Ranking 85% | Grounding 60% | Citation 50% | Hallucination Risk 40% | Trust 61%</v>
      </c>
      <c r="Z80" s="15"/>
      <c r="AA80" s="16" t="s">
        <v>23</v>
      </c>
      <c r="AB80" s="17"/>
    </row>
    <row r="81" spans="1:28" ht="78" customHeight="1">
      <c r="A81" s="12" t="s">
        <v>287</v>
      </c>
      <c r="B81" s="12" t="s">
        <v>138</v>
      </c>
      <c r="C81" s="12" t="s">
        <v>139</v>
      </c>
      <c r="D81" s="12" t="s">
        <v>140</v>
      </c>
      <c r="E81" s="12" t="s">
        <v>193</v>
      </c>
      <c r="F81" s="12" t="s">
        <v>281</v>
      </c>
      <c r="G81" s="12" t="s">
        <v>197</v>
      </c>
      <c r="H81" s="12" t="s">
        <v>283</v>
      </c>
      <c r="I81" s="12" t="s">
        <v>199</v>
      </c>
      <c r="J81" s="12" t="s">
        <v>284</v>
      </c>
      <c r="K81" s="12" t="s">
        <v>195</v>
      </c>
      <c r="L81" s="12" t="s">
        <v>282</v>
      </c>
      <c r="M81" s="13">
        <f t="shared" si="28"/>
        <v>1</v>
      </c>
      <c r="N81" s="13">
        <f t="shared" si="29"/>
        <v>4</v>
      </c>
      <c r="O81" s="13" t="str">
        <f t="shared" si="30"/>
        <v>Partial</v>
      </c>
      <c r="P81" s="14">
        <f t="shared" si="31"/>
        <v>50</v>
      </c>
      <c r="Q81" s="14">
        <f t="shared" si="32"/>
        <v>70</v>
      </c>
      <c r="R81" s="14">
        <f t="shared" si="33"/>
        <v>60</v>
      </c>
      <c r="S81" s="14">
        <f t="shared" si="34"/>
        <v>50</v>
      </c>
      <c r="T81" s="14">
        <f t="shared" si="35"/>
        <v>40</v>
      </c>
      <c r="U81" s="14">
        <f t="shared" si="36"/>
        <v>58</v>
      </c>
      <c r="V81" s="13" t="str">
        <f t="shared" si="37"/>
        <v>Partial</v>
      </c>
      <c r="W81" s="13" t="str">
        <f t="shared" si="39"/>
        <v>MISSION PROTECTED: Response held for more evidence; Try New Mission.</v>
      </c>
      <c r="X81" s="13" t="str">
        <f t="shared" si="40"/>
        <v>MISSION DELAYED; trust 35. The maneuver is postponed while the crew confirms the technician's location.</v>
      </c>
      <c r="Y81" s="13" t="str">
        <f t="shared" si="38"/>
        <v>Partial answer | Retrieval 50% | Ranking 70% | Grounding 60% | Citation 50% | Hallucination Risk 40% | Trust 58%</v>
      </c>
      <c r="Z81" s="15"/>
      <c r="AA81" s="16" t="s">
        <v>23</v>
      </c>
      <c r="AB81" s="17"/>
    </row>
    <row r="82" spans="1:28" ht="78" customHeight="1">
      <c r="A82" s="12" t="s">
        <v>288</v>
      </c>
      <c r="B82" s="12" t="s">
        <v>138</v>
      </c>
      <c r="C82" s="12" t="s">
        <v>139</v>
      </c>
      <c r="D82" s="12" t="s">
        <v>140</v>
      </c>
      <c r="E82" s="12" t="s">
        <v>193</v>
      </c>
      <c r="F82" s="12" t="s">
        <v>281</v>
      </c>
      <c r="G82" s="12" t="s">
        <v>199</v>
      </c>
      <c r="H82" s="12" t="s">
        <v>284</v>
      </c>
      <c r="I82" s="12" t="s">
        <v>195</v>
      </c>
      <c r="J82" s="12" t="s">
        <v>282</v>
      </c>
      <c r="K82" s="12" t="s">
        <v>197</v>
      </c>
      <c r="L82" s="12" t="s">
        <v>283</v>
      </c>
      <c r="M82" s="13">
        <f t="shared" si="28"/>
        <v>1</v>
      </c>
      <c r="N82" s="13">
        <f t="shared" si="29"/>
        <v>3</v>
      </c>
      <c r="O82" s="13" t="str">
        <f t="shared" si="30"/>
        <v>Partial</v>
      </c>
      <c r="P82" s="14">
        <f t="shared" si="31"/>
        <v>50</v>
      </c>
      <c r="Q82" s="14">
        <f t="shared" si="32"/>
        <v>85</v>
      </c>
      <c r="R82" s="14">
        <f t="shared" si="33"/>
        <v>60</v>
      </c>
      <c r="S82" s="14">
        <f t="shared" si="34"/>
        <v>50</v>
      </c>
      <c r="T82" s="14">
        <f t="shared" si="35"/>
        <v>40</v>
      </c>
      <c r="U82" s="14">
        <f t="shared" si="36"/>
        <v>61</v>
      </c>
      <c r="V82" s="13" t="str">
        <f t="shared" si="37"/>
        <v>Partial</v>
      </c>
      <c r="W82" s="13" t="str">
        <f t="shared" si="39"/>
        <v>MISSION PROTECTED: Response held for more evidence; Try New Mission.</v>
      </c>
      <c r="X82" s="13" t="str">
        <f t="shared" si="40"/>
        <v>MISSION DELAYED; trust 35. The maneuver is postponed while the crew confirms the technician's location.</v>
      </c>
      <c r="Y82" s="13" t="str">
        <f t="shared" si="38"/>
        <v>Partial answer | Retrieval 50% | Ranking 85% | Grounding 60% | Citation 50% | Hallucination Risk 40% | Trust 61%</v>
      </c>
      <c r="Z82" s="15"/>
      <c r="AA82" s="16" t="s">
        <v>23</v>
      </c>
      <c r="AB82" s="17"/>
    </row>
    <row r="83" spans="1:28" ht="78" customHeight="1">
      <c r="A83" s="12" t="s">
        <v>289</v>
      </c>
      <c r="B83" s="12" t="s">
        <v>138</v>
      </c>
      <c r="C83" s="12" t="s">
        <v>139</v>
      </c>
      <c r="D83" s="12" t="s">
        <v>140</v>
      </c>
      <c r="E83" s="12" t="s">
        <v>193</v>
      </c>
      <c r="F83" s="12" t="s">
        <v>281</v>
      </c>
      <c r="G83" s="12" t="s">
        <v>199</v>
      </c>
      <c r="H83" s="12" t="s">
        <v>284</v>
      </c>
      <c r="I83" s="12" t="s">
        <v>197</v>
      </c>
      <c r="J83" s="12" t="s">
        <v>283</v>
      </c>
      <c r="K83" s="12" t="s">
        <v>195</v>
      </c>
      <c r="L83" s="12" t="s">
        <v>282</v>
      </c>
      <c r="M83" s="13">
        <f t="shared" si="28"/>
        <v>1</v>
      </c>
      <c r="N83" s="13">
        <f t="shared" si="29"/>
        <v>4</v>
      </c>
      <c r="O83" s="13" t="str">
        <f t="shared" si="30"/>
        <v>Partial</v>
      </c>
      <c r="P83" s="14">
        <f t="shared" si="31"/>
        <v>50</v>
      </c>
      <c r="Q83" s="14">
        <f t="shared" si="32"/>
        <v>70</v>
      </c>
      <c r="R83" s="14">
        <f t="shared" si="33"/>
        <v>60</v>
      </c>
      <c r="S83" s="14">
        <f t="shared" si="34"/>
        <v>50</v>
      </c>
      <c r="T83" s="14">
        <f t="shared" si="35"/>
        <v>40</v>
      </c>
      <c r="U83" s="14">
        <f t="shared" si="36"/>
        <v>58</v>
      </c>
      <c r="V83" s="13" t="str">
        <f t="shared" si="37"/>
        <v>Partial</v>
      </c>
      <c r="W83" s="13" t="str">
        <f t="shared" si="39"/>
        <v>MISSION PROTECTED: Response held for more evidence; Try New Mission.</v>
      </c>
      <c r="X83" s="13" t="str">
        <f t="shared" si="40"/>
        <v>MISSION DELAYED; trust 35. The maneuver is postponed while the crew confirms the technician's location.</v>
      </c>
      <c r="Y83" s="13" t="str">
        <f t="shared" si="38"/>
        <v>Partial answer | Retrieval 50% | Ranking 70% | Grounding 60% | Citation 50% | Hallucination Risk 40% | Trust 58%</v>
      </c>
      <c r="Z83" s="15"/>
      <c r="AA83" s="16" t="s">
        <v>23</v>
      </c>
      <c r="AB83" s="17"/>
    </row>
    <row r="84" spans="1:28" ht="78" customHeight="1">
      <c r="A84" s="12" t="s">
        <v>290</v>
      </c>
      <c r="B84" s="12" t="s">
        <v>138</v>
      </c>
      <c r="C84" s="12" t="s">
        <v>139</v>
      </c>
      <c r="D84" s="12" t="s">
        <v>140</v>
      </c>
      <c r="E84" s="12" t="s">
        <v>195</v>
      </c>
      <c r="F84" s="12" t="s">
        <v>282</v>
      </c>
      <c r="G84" s="12" t="s">
        <v>193</v>
      </c>
      <c r="H84" s="12" t="s">
        <v>281</v>
      </c>
      <c r="I84" s="12" t="s">
        <v>197</v>
      </c>
      <c r="J84" s="12" t="s">
        <v>283</v>
      </c>
      <c r="K84" s="12" t="s">
        <v>199</v>
      </c>
      <c r="L84" s="12" t="s">
        <v>284</v>
      </c>
      <c r="M84" s="13">
        <f t="shared" si="28"/>
        <v>2</v>
      </c>
      <c r="N84" s="13">
        <f t="shared" si="29"/>
        <v>1</v>
      </c>
      <c r="O84" s="13" t="str">
        <f t="shared" si="30"/>
        <v>Grounded</v>
      </c>
      <c r="P84" s="14">
        <f t="shared" si="31"/>
        <v>100</v>
      </c>
      <c r="Q84" s="14">
        <f t="shared" si="32"/>
        <v>70</v>
      </c>
      <c r="R84" s="14">
        <f t="shared" si="33"/>
        <v>100</v>
      </c>
      <c r="S84" s="14">
        <f t="shared" si="34"/>
        <v>100</v>
      </c>
      <c r="T84" s="14">
        <f t="shared" si="35"/>
        <v>0</v>
      </c>
      <c r="U84" s="14">
        <f t="shared" si="36"/>
        <v>94</v>
      </c>
      <c r="V84" s="13" t="str">
        <f t="shared" si="37"/>
        <v>Grounded</v>
      </c>
      <c r="W84" s="13" t="str">
        <f t="shared" si="39"/>
        <v>MISSION SUCCESS: The thrusters remain locked until the technician leaves the safety zone, preventing an EVA accident.</v>
      </c>
      <c r="X84" s="13" t="str">
        <f t="shared" si="40"/>
        <v>MISSION SUCCESS + PROCESS WARNING; trust 70. The thrusters remain locked until the technician leaves the safety zone, preventing an EVA accident.</v>
      </c>
      <c r="Y84" s="13" t="str">
        <f t="shared" si="38"/>
        <v>Grounded answer | Retrieval 100% | Ranking 70% | Grounding 100% | Citation 100% | Hallucination Risk 0% | Trust 94%</v>
      </c>
      <c r="Z84" s="15"/>
      <c r="AA84" s="16" t="s">
        <v>23</v>
      </c>
      <c r="AB84" s="17"/>
    </row>
    <row r="85" spans="1:28" ht="78" customHeight="1">
      <c r="A85" s="12" t="s">
        <v>291</v>
      </c>
      <c r="B85" s="12" t="s">
        <v>138</v>
      </c>
      <c r="C85" s="12" t="s">
        <v>139</v>
      </c>
      <c r="D85" s="12" t="s">
        <v>140</v>
      </c>
      <c r="E85" s="12" t="s">
        <v>195</v>
      </c>
      <c r="F85" s="12" t="s">
        <v>282</v>
      </c>
      <c r="G85" s="12" t="s">
        <v>193</v>
      </c>
      <c r="H85" s="12" t="s">
        <v>281</v>
      </c>
      <c r="I85" s="12" t="s">
        <v>199</v>
      </c>
      <c r="J85" s="12" t="s">
        <v>284</v>
      </c>
      <c r="K85" s="12" t="s">
        <v>197</v>
      </c>
      <c r="L85" s="12" t="s">
        <v>283</v>
      </c>
      <c r="M85" s="13">
        <f t="shared" si="28"/>
        <v>2</v>
      </c>
      <c r="N85" s="13">
        <f t="shared" si="29"/>
        <v>1</v>
      </c>
      <c r="O85" s="13" t="str">
        <f t="shared" si="30"/>
        <v>Grounded</v>
      </c>
      <c r="P85" s="14">
        <f t="shared" si="31"/>
        <v>100</v>
      </c>
      <c r="Q85" s="14">
        <f t="shared" si="32"/>
        <v>70</v>
      </c>
      <c r="R85" s="14">
        <f t="shared" si="33"/>
        <v>100</v>
      </c>
      <c r="S85" s="14">
        <f t="shared" si="34"/>
        <v>100</v>
      </c>
      <c r="T85" s="14">
        <f t="shared" si="35"/>
        <v>0</v>
      </c>
      <c r="U85" s="14">
        <f t="shared" si="36"/>
        <v>94</v>
      </c>
      <c r="V85" s="13" t="str">
        <f t="shared" si="37"/>
        <v>Grounded</v>
      </c>
      <c r="W85" s="13" t="str">
        <f t="shared" si="39"/>
        <v>MISSION SUCCESS: The thrusters remain locked until the technician leaves the safety zone, preventing an EVA accident.</v>
      </c>
      <c r="X85" s="13" t="str">
        <f t="shared" si="40"/>
        <v>MISSION SUCCESS + PROCESS WARNING; trust 70. The thrusters remain locked until the technician leaves the safety zone, preventing an EVA accident.</v>
      </c>
      <c r="Y85" s="13" t="str">
        <f t="shared" si="38"/>
        <v>Grounded answer | Retrieval 100% | Ranking 70% | Grounding 100% | Citation 100% | Hallucination Risk 0% | Trust 94%</v>
      </c>
      <c r="Z85" s="15"/>
      <c r="AA85" s="16" t="s">
        <v>23</v>
      </c>
      <c r="AB85" s="17"/>
    </row>
    <row r="86" spans="1:28" ht="78" customHeight="1">
      <c r="A86" s="12" t="s">
        <v>292</v>
      </c>
      <c r="B86" s="12" t="s">
        <v>138</v>
      </c>
      <c r="C86" s="12" t="s">
        <v>139</v>
      </c>
      <c r="D86" s="12" t="s">
        <v>140</v>
      </c>
      <c r="E86" s="12" t="s">
        <v>195</v>
      </c>
      <c r="F86" s="12" t="s">
        <v>282</v>
      </c>
      <c r="G86" s="12" t="s">
        <v>197</v>
      </c>
      <c r="H86" s="12" t="s">
        <v>283</v>
      </c>
      <c r="I86" s="12" t="s">
        <v>193</v>
      </c>
      <c r="J86" s="12" t="s">
        <v>281</v>
      </c>
      <c r="K86" s="12" t="s">
        <v>199</v>
      </c>
      <c r="L86" s="12" t="s">
        <v>284</v>
      </c>
      <c r="M86" s="13">
        <f t="shared" si="28"/>
        <v>3</v>
      </c>
      <c r="N86" s="13">
        <f t="shared" si="29"/>
        <v>1</v>
      </c>
      <c r="O86" s="13" t="str">
        <f t="shared" si="30"/>
        <v>Partial</v>
      </c>
      <c r="P86" s="14">
        <f t="shared" si="31"/>
        <v>50</v>
      </c>
      <c r="Q86" s="14">
        <f t="shared" si="32"/>
        <v>55</v>
      </c>
      <c r="R86" s="14">
        <f t="shared" si="33"/>
        <v>60</v>
      </c>
      <c r="S86" s="14">
        <f t="shared" si="34"/>
        <v>50</v>
      </c>
      <c r="T86" s="14">
        <f t="shared" si="35"/>
        <v>40</v>
      </c>
      <c r="U86" s="14">
        <f t="shared" si="36"/>
        <v>55</v>
      </c>
      <c r="V86" s="13" t="str">
        <f t="shared" si="37"/>
        <v>Partial</v>
      </c>
      <c r="W86" s="13" t="str">
        <f t="shared" si="39"/>
        <v>MISSION PROTECTED: Response held for more evidence; Try New Mission.</v>
      </c>
      <c r="X86" s="13" t="str">
        <f t="shared" si="40"/>
        <v>MISSION DELAYED; trust 35. The maneuver is postponed while the crew confirms the technician's location.</v>
      </c>
      <c r="Y86" s="13" t="str">
        <f t="shared" si="38"/>
        <v>Partial answer | Retrieval 50% | Ranking 55% | Grounding 60% | Citation 50% | Hallucination Risk 40% | Trust 55%</v>
      </c>
      <c r="Z86" s="15"/>
      <c r="AA86" s="16" t="s">
        <v>23</v>
      </c>
      <c r="AB86" s="17"/>
    </row>
    <row r="87" spans="1:28" ht="78" customHeight="1">
      <c r="A87" s="12" t="s">
        <v>293</v>
      </c>
      <c r="B87" s="12" t="s">
        <v>138</v>
      </c>
      <c r="C87" s="12" t="s">
        <v>139</v>
      </c>
      <c r="D87" s="12" t="s">
        <v>140</v>
      </c>
      <c r="E87" s="12" t="s">
        <v>195</v>
      </c>
      <c r="F87" s="12" t="s">
        <v>282</v>
      </c>
      <c r="G87" s="12" t="s">
        <v>197</v>
      </c>
      <c r="H87" s="12" t="s">
        <v>283</v>
      </c>
      <c r="I87" s="12" t="s">
        <v>199</v>
      </c>
      <c r="J87" s="12" t="s">
        <v>284</v>
      </c>
      <c r="K87" s="12" t="s">
        <v>193</v>
      </c>
      <c r="L87" s="12" t="s">
        <v>281</v>
      </c>
      <c r="M87" s="13">
        <f t="shared" si="28"/>
        <v>4</v>
      </c>
      <c r="N87" s="13">
        <f t="shared" si="29"/>
        <v>1</v>
      </c>
      <c r="O87" s="13" t="str">
        <f t="shared" si="30"/>
        <v>Partial</v>
      </c>
      <c r="P87" s="14">
        <f t="shared" si="31"/>
        <v>50</v>
      </c>
      <c r="Q87" s="14">
        <f t="shared" si="32"/>
        <v>40</v>
      </c>
      <c r="R87" s="14">
        <f t="shared" si="33"/>
        <v>60</v>
      </c>
      <c r="S87" s="14">
        <f t="shared" si="34"/>
        <v>50</v>
      </c>
      <c r="T87" s="14">
        <f t="shared" si="35"/>
        <v>40</v>
      </c>
      <c r="U87" s="14">
        <f t="shared" si="36"/>
        <v>52</v>
      </c>
      <c r="V87" s="13" t="str">
        <f t="shared" si="37"/>
        <v>Partial</v>
      </c>
      <c r="W87" s="13" t="str">
        <f t="shared" si="39"/>
        <v>MISSION PROTECTED: Response held for more evidence; Try New Mission.</v>
      </c>
      <c r="X87" s="13" t="str">
        <f t="shared" si="40"/>
        <v>MISSION DELAYED; trust 35. The maneuver is postponed while the crew confirms the technician's location.</v>
      </c>
      <c r="Y87" s="13" t="str">
        <f t="shared" si="38"/>
        <v>Partial answer | Retrieval 50% | Ranking 40% | Grounding 60% | Citation 50% | Hallucination Risk 40% | Trust 52%</v>
      </c>
      <c r="Z87" s="15"/>
      <c r="AA87" s="16" t="s">
        <v>23</v>
      </c>
      <c r="AB87" s="17"/>
    </row>
    <row r="88" spans="1:28" ht="78" customHeight="1">
      <c r="A88" s="12" t="s">
        <v>294</v>
      </c>
      <c r="B88" s="12" t="s">
        <v>138</v>
      </c>
      <c r="C88" s="12" t="s">
        <v>139</v>
      </c>
      <c r="D88" s="12" t="s">
        <v>140</v>
      </c>
      <c r="E88" s="12" t="s">
        <v>195</v>
      </c>
      <c r="F88" s="12" t="s">
        <v>282</v>
      </c>
      <c r="G88" s="12" t="s">
        <v>199</v>
      </c>
      <c r="H88" s="12" t="s">
        <v>284</v>
      </c>
      <c r="I88" s="12" t="s">
        <v>193</v>
      </c>
      <c r="J88" s="12" t="s">
        <v>281</v>
      </c>
      <c r="K88" s="12" t="s">
        <v>197</v>
      </c>
      <c r="L88" s="12" t="s">
        <v>283</v>
      </c>
      <c r="M88" s="13">
        <f t="shared" si="28"/>
        <v>3</v>
      </c>
      <c r="N88" s="13">
        <f t="shared" si="29"/>
        <v>1</v>
      </c>
      <c r="O88" s="13" t="str">
        <f t="shared" si="30"/>
        <v>Partial</v>
      </c>
      <c r="P88" s="14">
        <f t="shared" si="31"/>
        <v>50</v>
      </c>
      <c r="Q88" s="14">
        <f t="shared" si="32"/>
        <v>55</v>
      </c>
      <c r="R88" s="14">
        <f t="shared" si="33"/>
        <v>60</v>
      </c>
      <c r="S88" s="14">
        <f t="shared" si="34"/>
        <v>50</v>
      </c>
      <c r="T88" s="14">
        <f t="shared" si="35"/>
        <v>40</v>
      </c>
      <c r="U88" s="14">
        <f t="shared" si="36"/>
        <v>55</v>
      </c>
      <c r="V88" s="13" t="str">
        <f t="shared" si="37"/>
        <v>Partial</v>
      </c>
      <c r="W88" s="13" t="str">
        <f t="shared" si="39"/>
        <v>MISSION PROTECTED: Response held for more evidence; Try New Mission.</v>
      </c>
      <c r="X88" s="13" t="str">
        <f t="shared" si="40"/>
        <v>MISSION DELAYED; trust 35. The maneuver is postponed while the crew confirms the technician's location.</v>
      </c>
      <c r="Y88" s="13" t="str">
        <f t="shared" si="38"/>
        <v>Partial answer | Retrieval 50% | Ranking 55% | Grounding 60% | Citation 50% | Hallucination Risk 40% | Trust 55%</v>
      </c>
      <c r="Z88" s="15"/>
      <c r="AA88" s="16" t="s">
        <v>23</v>
      </c>
      <c r="AB88" s="17"/>
    </row>
    <row r="89" spans="1:28" ht="78" customHeight="1">
      <c r="A89" s="12" t="s">
        <v>295</v>
      </c>
      <c r="B89" s="12" t="s">
        <v>138</v>
      </c>
      <c r="C89" s="12" t="s">
        <v>139</v>
      </c>
      <c r="D89" s="12" t="s">
        <v>140</v>
      </c>
      <c r="E89" s="12" t="s">
        <v>195</v>
      </c>
      <c r="F89" s="12" t="s">
        <v>282</v>
      </c>
      <c r="G89" s="12" t="s">
        <v>199</v>
      </c>
      <c r="H89" s="12" t="s">
        <v>284</v>
      </c>
      <c r="I89" s="12" t="s">
        <v>197</v>
      </c>
      <c r="J89" s="12" t="s">
        <v>283</v>
      </c>
      <c r="K89" s="12" t="s">
        <v>193</v>
      </c>
      <c r="L89" s="12" t="s">
        <v>281</v>
      </c>
      <c r="M89" s="13">
        <f t="shared" si="28"/>
        <v>4</v>
      </c>
      <c r="N89" s="13">
        <f t="shared" si="29"/>
        <v>1</v>
      </c>
      <c r="O89" s="13" t="str">
        <f t="shared" si="30"/>
        <v>Partial</v>
      </c>
      <c r="P89" s="14">
        <f t="shared" si="31"/>
        <v>50</v>
      </c>
      <c r="Q89" s="14">
        <f t="shared" si="32"/>
        <v>40</v>
      </c>
      <c r="R89" s="14">
        <f t="shared" si="33"/>
        <v>60</v>
      </c>
      <c r="S89" s="14">
        <f t="shared" si="34"/>
        <v>50</v>
      </c>
      <c r="T89" s="14">
        <f t="shared" si="35"/>
        <v>40</v>
      </c>
      <c r="U89" s="14">
        <f t="shared" si="36"/>
        <v>52</v>
      </c>
      <c r="V89" s="13" t="str">
        <f t="shared" si="37"/>
        <v>Partial</v>
      </c>
      <c r="W89" s="13" t="str">
        <f t="shared" si="39"/>
        <v>MISSION PROTECTED: Response held for more evidence; Try New Mission.</v>
      </c>
      <c r="X89" s="13" t="str">
        <f t="shared" si="40"/>
        <v>MISSION DELAYED; trust 35. The maneuver is postponed while the crew confirms the technician's location.</v>
      </c>
      <c r="Y89" s="13" t="str">
        <f t="shared" si="38"/>
        <v>Partial answer | Retrieval 50% | Ranking 40% | Grounding 60% | Citation 50% | Hallucination Risk 40% | Trust 52%</v>
      </c>
      <c r="Z89" s="15"/>
      <c r="AA89" s="16" t="s">
        <v>23</v>
      </c>
      <c r="AB89" s="17"/>
    </row>
    <row r="90" spans="1:28" ht="78" customHeight="1">
      <c r="A90" s="12" t="s">
        <v>296</v>
      </c>
      <c r="B90" s="12" t="s">
        <v>138</v>
      </c>
      <c r="C90" s="12" t="s">
        <v>139</v>
      </c>
      <c r="D90" s="12" t="s">
        <v>140</v>
      </c>
      <c r="E90" s="12" t="s">
        <v>197</v>
      </c>
      <c r="F90" s="12" t="s">
        <v>283</v>
      </c>
      <c r="G90" s="12" t="s">
        <v>193</v>
      </c>
      <c r="H90" s="12" t="s">
        <v>281</v>
      </c>
      <c r="I90" s="12" t="s">
        <v>195</v>
      </c>
      <c r="J90" s="12" t="s">
        <v>282</v>
      </c>
      <c r="K90" s="12" t="s">
        <v>199</v>
      </c>
      <c r="L90" s="12" t="s">
        <v>284</v>
      </c>
      <c r="M90" s="13">
        <f t="shared" si="28"/>
        <v>2</v>
      </c>
      <c r="N90" s="13">
        <f t="shared" si="29"/>
        <v>3</v>
      </c>
      <c r="O90" s="13" t="str">
        <f t="shared" si="30"/>
        <v>Partial</v>
      </c>
      <c r="P90" s="14">
        <f t="shared" si="31"/>
        <v>50</v>
      </c>
      <c r="Q90" s="14">
        <f t="shared" si="32"/>
        <v>70</v>
      </c>
      <c r="R90" s="14">
        <f t="shared" si="33"/>
        <v>60</v>
      </c>
      <c r="S90" s="14">
        <f t="shared" si="34"/>
        <v>50</v>
      </c>
      <c r="T90" s="14">
        <f t="shared" si="35"/>
        <v>40</v>
      </c>
      <c r="U90" s="14">
        <f t="shared" si="36"/>
        <v>58</v>
      </c>
      <c r="V90" s="13" t="str">
        <f t="shared" si="37"/>
        <v>Partial</v>
      </c>
      <c r="W90" s="13" t="str">
        <f t="shared" si="39"/>
        <v>MISSION PROTECTED: Response held for more evidence; Try New Mission.</v>
      </c>
      <c r="X90" s="13" t="str">
        <f t="shared" si="40"/>
        <v>MISSION DELAYED; trust 35. The maneuver is postponed while the crew confirms the technician's location.</v>
      </c>
      <c r="Y90" s="13" t="str">
        <f t="shared" si="38"/>
        <v>Partial answer | Retrieval 50% | Ranking 70% | Grounding 60% | Citation 50% | Hallucination Risk 40% | Trust 58%</v>
      </c>
      <c r="Z90" s="15"/>
      <c r="AA90" s="16" t="s">
        <v>23</v>
      </c>
      <c r="AB90" s="17"/>
    </row>
    <row r="91" spans="1:28" ht="78" customHeight="1">
      <c r="A91" s="12" t="s">
        <v>297</v>
      </c>
      <c r="B91" s="12" t="s">
        <v>138</v>
      </c>
      <c r="C91" s="12" t="s">
        <v>139</v>
      </c>
      <c r="D91" s="12" t="s">
        <v>140</v>
      </c>
      <c r="E91" s="12" t="s">
        <v>197</v>
      </c>
      <c r="F91" s="12" t="s">
        <v>283</v>
      </c>
      <c r="G91" s="12" t="s">
        <v>193</v>
      </c>
      <c r="H91" s="12" t="s">
        <v>281</v>
      </c>
      <c r="I91" s="12" t="s">
        <v>199</v>
      </c>
      <c r="J91" s="12" t="s">
        <v>284</v>
      </c>
      <c r="K91" s="12" t="s">
        <v>195</v>
      </c>
      <c r="L91" s="12" t="s">
        <v>282</v>
      </c>
      <c r="M91" s="13">
        <f t="shared" si="28"/>
        <v>2</v>
      </c>
      <c r="N91" s="13">
        <f t="shared" si="29"/>
        <v>4</v>
      </c>
      <c r="O91" s="13" t="str">
        <f t="shared" si="30"/>
        <v>Partial</v>
      </c>
      <c r="P91" s="14">
        <f t="shared" si="31"/>
        <v>50</v>
      </c>
      <c r="Q91" s="14">
        <f t="shared" si="32"/>
        <v>55</v>
      </c>
      <c r="R91" s="14">
        <f t="shared" si="33"/>
        <v>60</v>
      </c>
      <c r="S91" s="14">
        <f t="shared" si="34"/>
        <v>50</v>
      </c>
      <c r="T91" s="14">
        <f t="shared" si="35"/>
        <v>40</v>
      </c>
      <c r="U91" s="14">
        <f t="shared" si="36"/>
        <v>55</v>
      </c>
      <c r="V91" s="13" t="str">
        <f t="shared" si="37"/>
        <v>Partial</v>
      </c>
      <c r="W91" s="13" t="str">
        <f t="shared" si="39"/>
        <v>MISSION PROTECTED: Response held for more evidence; Try New Mission.</v>
      </c>
      <c r="X91" s="13" t="str">
        <f t="shared" si="40"/>
        <v>MISSION DELAYED; trust 35. The maneuver is postponed while the crew confirms the technician's location.</v>
      </c>
      <c r="Y91" s="13" t="str">
        <f t="shared" si="38"/>
        <v>Partial answer | Retrieval 50% | Ranking 55% | Grounding 60% | Citation 50% | Hallucination Risk 40% | Trust 55%</v>
      </c>
      <c r="Z91" s="15"/>
      <c r="AA91" s="16" t="s">
        <v>23</v>
      </c>
      <c r="AB91" s="17"/>
    </row>
    <row r="92" spans="1:28" ht="78" customHeight="1">
      <c r="A92" s="12" t="s">
        <v>298</v>
      </c>
      <c r="B92" s="12" t="s">
        <v>138</v>
      </c>
      <c r="C92" s="12" t="s">
        <v>139</v>
      </c>
      <c r="D92" s="12" t="s">
        <v>140</v>
      </c>
      <c r="E92" s="12" t="s">
        <v>197</v>
      </c>
      <c r="F92" s="12" t="s">
        <v>283</v>
      </c>
      <c r="G92" s="12" t="s">
        <v>195</v>
      </c>
      <c r="H92" s="12" t="s">
        <v>282</v>
      </c>
      <c r="I92" s="12" t="s">
        <v>193</v>
      </c>
      <c r="J92" s="12" t="s">
        <v>281</v>
      </c>
      <c r="K92" s="12" t="s">
        <v>199</v>
      </c>
      <c r="L92" s="12" t="s">
        <v>284</v>
      </c>
      <c r="M92" s="13">
        <f t="shared" si="28"/>
        <v>3</v>
      </c>
      <c r="N92" s="13">
        <f t="shared" si="29"/>
        <v>2</v>
      </c>
      <c r="O92" s="13" t="str">
        <f t="shared" si="30"/>
        <v>Partial</v>
      </c>
      <c r="P92" s="14">
        <f t="shared" si="31"/>
        <v>50</v>
      </c>
      <c r="Q92" s="14">
        <f t="shared" si="32"/>
        <v>70</v>
      </c>
      <c r="R92" s="14">
        <f t="shared" si="33"/>
        <v>60</v>
      </c>
      <c r="S92" s="14">
        <f t="shared" si="34"/>
        <v>50</v>
      </c>
      <c r="T92" s="14">
        <f t="shared" si="35"/>
        <v>40</v>
      </c>
      <c r="U92" s="14">
        <f t="shared" si="36"/>
        <v>58</v>
      </c>
      <c r="V92" s="13" t="str">
        <f t="shared" si="37"/>
        <v>Partial</v>
      </c>
      <c r="W92" s="13" t="str">
        <f t="shared" si="39"/>
        <v>MISSION PROTECTED: Response held for more evidence; Try New Mission.</v>
      </c>
      <c r="X92" s="13" t="str">
        <f t="shared" si="40"/>
        <v>MISSION DELAYED; trust 35. The maneuver is postponed while the crew confirms the technician's location.</v>
      </c>
      <c r="Y92" s="13" t="str">
        <f t="shared" si="38"/>
        <v>Partial answer | Retrieval 50% | Ranking 70% | Grounding 60% | Citation 50% | Hallucination Risk 40% | Trust 58%</v>
      </c>
      <c r="Z92" s="15"/>
      <c r="AA92" s="16" t="s">
        <v>23</v>
      </c>
      <c r="AB92" s="17"/>
    </row>
    <row r="93" spans="1:28" ht="78" customHeight="1">
      <c r="A93" s="12" t="s">
        <v>299</v>
      </c>
      <c r="B93" s="12" t="s">
        <v>138</v>
      </c>
      <c r="C93" s="12" t="s">
        <v>139</v>
      </c>
      <c r="D93" s="12" t="s">
        <v>140</v>
      </c>
      <c r="E93" s="12" t="s">
        <v>197</v>
      </c>
      <c r="F93" s="12" t="s">
        <v>283</v>
      </c>
      <c r="G93" s="12" t="s">
        <v>195</v>
      </c>
      <c r="H93" s="12" t="s">
        <v>282</v>
      </c>
      <c r="I93" s="12" t="s">
        <v>199</v>
      </c>
      <c r="J93" s="12" t="s">
        <v>284</v>
      </c>
      <c r="K93" s="12" t="s">
        <v>193</v>
      </c>
      <c r="L93" s="12" t="s">
        <v>281</v>
      </c>
      <c r="M93" s="13">
        <f t="shared" si="28"/>
        <v>4</v>
      </c>
      <c r="N93" s="13">
        <f t="shared" si="29"/>
        <v>2</v>
      </c>
      <c r="O93" s="13" t="str">
        <f t="shared" si="30"/>
        <v>Partial</v>
      </c>
      <c r="P93" s="14">
        <f t="shared" si="31"/>
        <v>50</v>
      </c>
      <c r="Q93" s="14">
        <f t="shared" si="32"/>
        <v>55</v>
      </c>
      <c r="R93" s="14">
        <f t="shared" si="33"/>
        <v>60</v>
      </c>
      <c r="S93" s="14">
        <f t="shared" si="34"/>
        <v>50</v>
      </c>
      <c r="T93" s="14">
        <f t="shared" si="35"/>
        <v>40</v>
      </c>
      <c r="U93" s="14">
        <f t="shared" si="36"/>
        <v>55</v>
      </c>
      <c r="V93" s="13" t="str">
        <f t="shared" si="37"/>
        <v>Partial</v>
      </c>
      <c r="W93" s="13" t="str">
        <f t="shared" si="39"/>
        <v>MISSION PROTECTED: Response held for more evidence; Try New Mission.</v>
      </c>
      <c r="X93" s="13" t="str">
        <f t="shared" si="40"/>
        <v>MISSION DELAYED; trust 35. The maneuver is postponed while the crew confirms the technician's location.</v>
      </c>
      <c r="Y93" s="13" t="str">
        <f t="shared" si="38"/>
        <v>Partial answer | Retrieval 50% | Ranking 55% | Grounding 60% | Citation 50% | Hallucination Risk 40% | Trust 55%</v>
      </c>
      <c r="Z93" s="15"/>
      <c r="AA93" s="16" t="s">
        <v>23</v>
      </c>
      <c r="AB93" s="17"/>
    </row>
    <row r="94" spans="1:28" ht="78" customHeight="1">
      <c r="A94" s="12" t="s">
        <v>300</v>
      </c>
      <c r="B94" s="12" t="s">
        <v>138</v>
      </c>
      <c r="C94" s="12" t="s">
        <v>139</v>
      </c>
      <c r="D94" s="12" t="s">
        <v>140</v>
      </c>
      <c r="E94" s="12" t="s">
        <v>197</v>
      </c>
      <c r="F94" s="12" t="s">
        <v>283</v>
      </c>
      <c r="G94" s="12" t="s">
        <v>199</v>
      </c>
      <c r="H94" s="12" t="s">
        <v>284</v>
      </c>
      <c r="I94" s="12" t="s">
        <v>193</v>
      </c>
      <c r="J94" s="12" t="s">
        <v>281</v>
      </c>
      <c r="K94" s="12" t="s">
        <v>195</v>
      </c>
      <c r="L94" s="12" t="s">
        <v>282</v>
      </c>
      <c r="M94" s="13">
        <f t="shared" si="28"/>
        <v>3</v>
      </c>
      <c r="N94" s="13">
        <f t="shared" si="29"/>
        <v>4</v>
      </c>
      <c r="O94" s="13" t="str">
        <f t="shared" si="30"/>
        <v>Risky</v>
      </c>
      <c r="P94" s="14">
        <f t="shared" si="31"/>
        <v>0</v>
      </c>
      <c r="Q94" s="14">
        <f t="shared" si="32"/>
        <v>40</v>
      </c>
      <c r="R94" s="14">
        <f t="shared" si="33"/>
        <v>10</v>
      </c>
      <c r="S94" s="14">
        <f t="shared" si="34"/>
        <v>0</v>
      </c>
      <c r="T94" s="14">
        <f t="shared" si="35"/>
        <v>90</v>
      </c>
      <c r="U94" s="14">
        <f t="shared" si="36"/>
        <v>12</v>
      </c>
      <c r="V94" s="13" t="str">
        <f t="shared" si="37"/>
        <v>Risky</v>
      </c>
      <c r="W94" s="13" t="str">
        <f t="shared" si="39"/>
        <v>RISK BLOCKED: Unsupported action prevented; Try New Mission.</v>
      </c>
      <c r="X94" s="13" t="str">
        <f t="shared" si="40"/>
        <v>GAME OVER; trust 5. The thruster blast pushes the technician away from the ship and damages critical spacesuit equipment.</v>
      </c>
      <c r="Y94" s="13" t="str">
        <f t="shared" si="38"/>
        <v>Risky answer | Retrieval 0% | Ranking 40% | Grounding 10% | Citation 0% | Hallucination Risk 90% | Trust 12%</v>
      </c>
      <c r="Z94" s="15"/>
      <c r="AA94" s="16" t="s">
        <v>23</v>
      </c>
      <c r="AB94" s="17"/>
    </row>
    <row r="95" spans="1:28" ht="78" customHeight="1">
      <c r="A95" s="12" t="s">
        <v>301</v>
      </c>
      <c r="B95" s="12" t="s">
        <v>138</v>
      </c>
      <c r="C95" s="12" t="s">
        <v>139</v>
      </c>
      <c r="D95" s="12" t="s">
        <v>140</v>
      </c>
      <c r="E95" s="12" t="s">
        <v>197</v>
      </c>
      <c r="F95" s="12" t="s">
        <v>283</v>
      </c>
      <c r="G95" s="12" t="s">
        <v>199</v>
      </c>
      <c r="H95" s="12" t="s">
        <v>284</v>
      </c>
      <c r="I95" s="12" t="s">
        <v>195</v>
      </c>
      <c r="J95" s="12" t="s">
        <v>282</v>
      </c>
      <c r="K95" s="12" t="s">
        <v>193</v>
      </c>
      <c r="L95" s="12" t="s">
        <v>281</v>
      </c>
      <c r="M95" s="13">
        <f t="shared" si="28"/>
        <v>4</v>
      </c>
      <c r="N95" s="13">
        <f t="shared" si="29"/>
        <v>3</v>
      </c>
      <c r="O95" s="13" t="str">
        <f t="shared" si="30"/>
        <v>Risky</v>
      </c>
      <c r="P95" s="14">
        <f t="shared" si="31"/>
        <v>0</v>
      </c>
      <c r="Q95" s="14">
        <f t="shared" si="32"/>
        <v>40</v>
      </c>
      <c r="R95" s="14">
        <f t="shared" si="33"/>
        <v>10</v>
      </c>
      <c r="S95" s="14">
        <f t="shared" si="34"/>
        <v>0</v>
      </c>
      <c r="T95" s="14">
        <f t="shared" si="35"/>
        <v>90</v>
      </c>
      <c r="U95" s="14">
        <f t="shared" si="36"/>
        <v>12</v>
      </c>
      <c r="V95" s="13" t="str">
        <f t="shared" si="37"/>
        <v>Risky</v>
      </c>
      <c r="W95" s="13" t="str">
        <f t="shared" si="39"/>
        <v>RISK BLOCKED: Unsupported action prevented; Try New Mission.</v>
      </c>
      <c r="X95" s="13" t="str">
        <f t="shared" si="40"/>
        <v>GAME OVER; trust 5. The thruster blast pushes the technician away from the ship and damages critical spacesuit equipment.</v>
      </c>
      <c r="Y95" s="13" t="str">
        <f t="shared" si="38"/>
        <v>Risky answer | Retrieval 0% | Ranking 40% | Grounding 10% | Citation 0% | Hallucination Risk 90% | Trust 12%</v>
      </c>
      <c r="Z95" s="15"/>
      <c r="AA95" s="16" t="s">
        <v>23</v>
      </c>
      <c r="AB95" s="17"/>
    </row>
    <row r="96" spans="1:28" ht="78" customHeight="1">
      <c r="A96" s="12" t="s">
        <v>302</v>
      </c>
      <c r="B96" s="12" t="s">
        <v>138</v>
      </c>
      <c r="C96" s="12" t="s">
        <v>139</v>
      </c>
      <c r="D96" s="12" t="s">
        <v>140</v>
      </c>
      <c r="E96" s="12" t="s">
        <v>199</v>
      </c>
      <c r="F96" s="12" t="s">
        <v>284</v>
      </c>
      <c r="G96" s="12" t="s">
        <v>193</v>
      </c>
      <c r="H96" s="12" t="s">
        <v>281</v>
      </c>
      <c r="I96" s="12" t="s">
        <v>195</v>
      </c>
      <c r="J96" s="12" t="s">
        <v>282</v>
      </c>
      <c r="K96" s="12" t="s">
        <v>197</v>
      </c>
      <c r="L96" s="12" t="s">
        <v>283</v>
      </c>
      <c r="M96" s="13">
        <f t="shared" si="28"/>
        <v>2</v>
      </c>
      <c r="N96" s="13">
        <f t="shared" si="29"/>
        <v>3</v>
      </c>
      <c r="O96" s="13" t="str">
        <f t="shared" si="30"/>
        <v>Partial</v>
      </c>
      <c r="P96" s="14">
        <f t="shared" si="31"/>
        <v>50</v>
      </c>
      <c r="Q96" s="14">
        <f t="shared" si="32"/>
        <v>70</v>
      </c>
      <c r="R96" s="14">
        <f t="shared" si="33"/>
        <v>60</v>
      </c>
      <c r="S96" s="14">
        <f t="shared" si="34"/>
        <v>50</v>
      </c>
      <c r="T96" s="14">
        <f t="shared" si="35"/>
        <v>40</v>
      </c>
      <c r="U96" s="14">
        <f t="shared" si="36"/>
        <v>58</v>
      </c>
      <c r="V96" s="13" t="str">
        <f t="shared" si="37"/>
        <v>Partial</v>
      </c>
      <c r="W96" s="13" t="str">
        <f t="shared" si="39"/>
        <v>MISSION PROTECTED: Response held for more evidence; Try New Mission.</v>
      </c>
      <c r="X96" s="13" t="str">
        <f t="shared" si="40"/>
        <v>MISSION DELAYED; trust 35. The maneuver is postponed while the crew confirms the technician's location.</v>
      </c>
      <c r="Y96" s="13" t="str">
        <f t="shared" si="38"/>
        <v>Partial answer | Retrieval 50% | Ranking 70% | Grounding 60% | Citation 50% | Hallucination Risk 40% | Trust 58%</v>
      </c>
      <c r="Z96" s="15"/>
      <c r="AA96" s="16" t="s">
        <v>23</v>
      </c>
      <c r="AB96" s="17"/>
    </row>
    <row r="97" spans="1:28" ht="78" customHeight="1">
      <c r="A97" s="12" t="s">
        <v>303</v>
      </c>
      <c r="B97" s="12" t="s">
        <v>138</v>
      </c>
      <c r="C97" s="12" t="s">
        <v>139</v>
      </c>
      <c r="D97" s="12" t="s">
        <v>140</v>
      </c>
      <c r="E97" s="12" t="s">
        <v>199</v>
      </c>
      <c r="F97" s="12" t="s">
        <v>284</v>
      </c>
      <c r="G97" s="12" t="s">
        <v>193</v>
      </c>
      <c r="H97" s="12" t="s">
        <v>281</v>
      </c>
      <c r="I97" s="12" t="s">
        <v>197</v>
      </c>
      <c r="J97" s="12" t="s">
        <v>283</v>
      </c>
      <c r="K97" s="12" t="s">
        <v>195</v>
      </c>
      <c r="L97" s="12" t="s">
        <v>282</v>
      </c>
      <c r="M97" s="13">
        <f t="shared" si="28"/>
        <v>2</v>
      </c>
      <c r="N97" s="13">
        <f t="shared" si="29"/>
        <v>4</v>
      </c>
      <c r="O97" s="13" t="str">
        <f t="shared" si="30"/>
        <v>Partial</v>
      </c>
      <c r="P97" s="14">
        <f t="shared" si="31"/>
        <v>50</v>
      </c>
      <c r="Q97" s="14">
        <f t="shared" si="32"/>
        <v>55</v>
      </c>
      <c r="R97" s="14">
        <f t="shared" si="33"/>
        <v>60</v>
      </c>
      <c r="S97" s="14">
        <f t="shared" si="34"/>
        <v>50</v>
      </c>
      <c r="T97" s="14">
        <f t="shared" si="35"/>
        <v>40</v>
      </c>
      <c r="U97" s="14">
        <f t="shared" si="36"/>
        <v>55</v>
      </c>
      <c r="V97" s="13" t="str">
        <f t="shared" si="37"/>
        <v>Partial</v>
      </c>
      <c r="W97" s="13" t="str">
        <f t="shared" si="39"/>
        <v>MISSION PROTECTED: Response held for more evidence; Try New Mission.</v>
      </c>
      <c r="X97" s="13" t="str">
        <f t="shared" si="40"/>
        <v>MISSION DELAYED; trust 35. The maneuver is postponed while the crew confirms the technician's location.</v>
      </c>
      <c r="Y97" s="13" t="str">
        <f t="shared" si="38"/>
        <v>Partial answer | Retrieval 50% | Ranking 55% | Grounding 60% | Citation 50% | Hallucination Risk 40% | Trust 55%</v>
      </c>
      <c r="Z97" s="15"/>
      <c r="AA97" s="16" t="s">
        <v>23</v>
      </c>
      <c r="AB97" s="17"/>
    </row>
    <row r="98" spans="1:28" ht="78" customHeight="1">
      <c r="A98" s="12" t="s">
        <v>304</v>
      </c>
      <c r="B98" s="12" t="s">
        <v>138</v>
      </c>
      <c r="C98" s="12" t="s">
        <v>139</v>
      </c>
      <c r="D98" s="12" t="s">
        <v>140</v>
      </c>
      <c r="E98" s="12" t="s">
        <v>199</v>
      </c>
      <c r="F98" s="12" t="s">
        <v>284</v>
      </c>
      <c r="G98" s="12" t="s">
        <v>195</v>
      </c>
      <c r="H98" s="12" t="s">
        <v>282</v>
      </c>
      <c r="I98" s="12" t="s">
        <v>193</v>
      </c>
      <c r="J98" s="12" t="s">
        <v>281</v>
      </c>
      <c r="K98" s="12" t="s">
        <v>197</v>
      </c>
      <c r="L98" s="12" t="s">
        <v>283</v>
      </c>
      <c r="M98" s="13">
        <f t="shared" si="28"/>
        <v>3</v>
      </c>
      <c r="N98" s="13">
        <f t="shared" si="29"/>
        <v>2</v>
      </c>
      <c r="O98" s="13" t="str">
        <f t="shared" si="30"/>
        <v>Partial</v>
      </c>
      <c r="P98" s="14">
        <f t="shared" si="31"/>
        <v>50</v>
      </c>
      <c r="Q98" s="14">
        <f t="shared" si="32"/>
        <v>70</v>
      </c>
      <c r="R98" s="14">
        <f t="shared" si="33"/>
        <v>60</v>
      </c>
      <c r="S98" s="14">
        <f t="shared" si="34"/>
        <v>50</v>
      </c>
      <c r="T98" s="14">
        <f t="shared" si="35"/>
        <v>40</v>
      </c>
      <c r="U98" s="14">
        <f t="shared" si="36"/>
        <v>58</v>
      </c>
      <c r="V98" s="13" t="str">
        <f t="shared" si="37"/>
        <v>Partial</v>
      </c>
      <c r="W98" s="13" t="str">
        <f t="shared" si="39"/>
        <v>MISSION PROTECTED: Response held for more evidence; Try New Mission.</v>
      </c>
      <c r="X98" s="13" t="str">
        <f t="shared" si="40"/>
        <v>MISSION DELAYED; trust 35. The maneuver is postponed while the crew confirms the technician's location.</v>
      </c>
      <c r="Y98" s="13" t="str">
        <f t="shared" si="38"/>
        <v>Partial answer | Retrieval 50% | Ranking 70% | Grounding 60% | Citation 50% | Hallucination Risk 40% | Trust 58%</v>
      </c>
      <c r="Z98" s="15"/>
      <c r="AA98" s="16" t="s">
        <v>23</v>
      </c>
      <c r="AB98" s="17"/>
    </row>
    <row r="99" spans="1:28" ht="78" customHeight="1">
      <c r="A99" s="12" t="s">
        <v>305</v>
      </c>
      <c r="B99" s="12" t="s">
        <v>138</v>
      </c>
      <c r="C99" s="12" t="s">
        <v>139</v>
      </c>
      <c r="D99" s="12" t="s">
        <v>140</v>
      </c>
      <c r="E99" s="12" t="s">
        <v>199</v>
      </c>
      <c r="F99" s="12" t="s">
        <v>284</v>
      </c>
      <c r="G99" s="12" t="s">
        <v>195</v>
      </c>
      <c r="H99" s="12" t="s">
        <v>282</v>
      </c>
      <c r="I99" s="12" t="s">
        <v>197</v>
      </c>
      <c r="J99" s="12" t="s">
        <v>283</v>
      </c>
      <c r="K99" s="12" t="s">
        <v>193</v>
      </c>
      <c r="L99" s="12" t="s">
        <v>281</v>
      </c>
      <c r="M99" s="13">
        <f t="shared" si="28"/>
        <v>4</v>
      </c>
      <c r="N99" s="13">
        <f t="shared" si="29"/>
        <v>2</v>
      </c>
      <c r="O99" s="13" t="str">
        <f t="shared" si="30"/>
        <v>Partial</v>
      </c>
      <c r="P99" s="14">
        <f t="shared" si="31"/>
        <v>50</v>
      </c>
      <c r="Q99" s="14">
        <f t="shared" si="32"/>
        <v>55</v>
      </c>
      <c r="R99" s="14">
        <f t="shared" si="33"/>
        <v>60</v>
      </c>
      <c r="S99" s="14">
        <f t="shared" si="34"/>
        <v>50</v>
      </c>
      <c r="T99" s="14">
        <f t="shared" si="35"/>
        <v>40</v>
      </c>
      <c r="U99" s="14">
        <f t="shared" si="36"/>
        <v>55</v>
      </c>
      <c r="V99" s="13" t="str">
        <f t="shared" si="37"/>
        <v>Partial</v>
      </c>
      <c r="W99" s="13" t="str">
        <f t="shared" si="39"/>
        <v>MISSION PROTECTED: Response held for more evidence; Try New Mission.</v>
      </c>
      <c r="X99" s="13" t="str">
        <f t="shared" si="40"/>
        <v>MISSION DELAYED; trust 35. The maneuver is postponed while the crew confirms the technician's location.</v>
      </c>
      <c r="Y99" s="13" t="str">
        <f t="shared" si="38"/>
        <v>Partial answer | Retrieval 50% | Ranking 55% | Grounding 60% | Citation 50% | Hallucination Risk 40% | Trust 55%</v>
      </c>
      <c r="Z99" s="15"/>
      <c r="AA99" s="16" t="s">
        <v>23</v>
      </c>
      <c r="AB99" s="17"/>
    </row>
    <row r="100" spans="1:28" ht="78" customHeight="1">
      <c r="A100" s="12" t="s">
        <v>306</v>
      </c>
      <c r="B100" s="12" t="s">
        <v>138</v>
      </c>
      <c r="C100" s="12" t="s">
        <v>139</v>
      </c>
      <c r="D100" s="12" t="s">
        <v>140</v>
      </c>
      <c r="E100" s="12" t="s">
        <v>199</v>
      </c>
      <c r="F100" s="12" t="s">
        <v>284</v>
      </c>
      <c r="G100" s="12" t="s">
        <v>197</v>
      </c>
      <c r="H100" s="12" t="s">
        <v>283</v>
      </c>
      <c r="I100" s="12" t="s">
        <v>193</v>
      </c>
      <c r="J100" s="12" t="s">
        <v>281</v>
      </c>
      <c r="K100" s="12" t="s">
        <v>195</v>
      </c>
      <c r="L100" s="12" t="s">
        <v>282</v>
      </c>
      <c r="M100" s="13">
        <f t="shared" si="28"/>
        <v>3</v>
      </c>
      <c r="N100" s="13">
        <f t="shared" si="29"/>
        <v>4</v>
      </c>
      <c r="O100" s="13" t="str">
        <f t="shared" si="30"/>
        <v>Risky</v>
      </c>
      <c r="P100" s="14">
        <f t="shared" si="31"/>
        <v>0</v>
      </c>
      <c r="Q100" s="14">
        <f t="shared" si="32"/>
        <v>40</v>
      </c>
      <c r="R100" s="14">
        <f t="shared" si="33"/>
        <v>10</v>
      </c>
      <c r="S100" s="14">
        <f t="shared" si="34"/>
        <v>0</v>
      </c>
      <c r="T100" s="14">
        <f t="shared" si="35"/>
        <v>90</v>
      </c>
      <c r="U100" s="14">
        <f t="shared" si="36"/>
        <v>12</v>
      </c>
      <c r="V100" s="13" t="str">
        <f t="shared" si="37"/>
        <v>Risky</v>
      </c>
      <c r="W100" s="13" t="str">
        <f t="shared" si="39"/>
        <v>RISK BLOCKED: Unsupported action prevented; Try New Mission.</v>
      </c>
      <c r="X100" s="13" t="str">
        <f t="shared" si="40"/>
        <v>GAME OVER; trust 5. The thruster blast pushes the technician away from the ship and damages critical spacesuit equipment.</v>
      </c>
      <c r="Y100" s="13" t="str">
        <f t="shared" si="38"/>
        <v>Risky answer | Retrieval 0% | Ranking 40% | Grounding 10% | Citation 0% | Hallucination Risk 90% | Trust 12%</v>
      </c>
      <c r="Z100" s="15"/>
      <c r="AA100" s="16" t="s">
        <v>23</v>
      </c>
      <c r="AB100" s="17"/>
    </row>
    <row r="101" spans="1:28" ht="78" customHeight="1">
      <c r="A101" s="12" t="s">
        <v>307</v>
      </c>
      <c r="B101" s="12" t="s">
        <v>138</v>
      </c>
      <c r="C101" s="12" t="s">
        <v>139</v>
      </c>
      <c r="D101" s="12" t="s">
        <v>140</v>
      </c>
      <c r="E101" s="12" t="s">
        <v>199</v>
      </c>
      <c r="F101" s="12" t="s">
        <v>284</v>
      </c>
      <c r="G101" s="12" t="s">
        <v>197</v>
      </c>
      <c r="H101" s="12" t="s">
        <v>283</v>
      </c>
      <c r="I101" s="12" t="s">
        <v>195</v>
      </c>
      <c r="J101" s="12" t="s">
        <v>282</v>
      </c>
      <c r="K101" s="12" t="s">
        <v>193</v>
      </c>
      <c r="L101" s="12" t="s">
        <v>281</v>
      </c>
      <c r="M101" s="13">
        <f t="shared" si="28"/>
        <v>4</v>
      </c>
      <c r="N101" s="13">
        <f t="shared" si="29"/>
        <v>3</v>
      </c>
      <c r="O101" s="13" t="str">
        <f t="shared" si="30"/>
        <v>Risky</v>
      </c>
      <c r="P101" s="14">
        <f t="shared" si="31"/>
        <v>0</v>
      </c>
      <c r="Q101" s="14">
        <f t="shared" si="32"/>
        <v>40</v>
      </c>
      <c r="R101" s="14">
        <f t="shared" si="33"/>
        <v>10</v>
      </c>
      <c r="S101" s="14">
        <f t="shared" si="34"/>
        <v>0</v>
      </c>
      <c r="T101" s="14">
        <f t="shared" si="35"/>
        <v>90</v>
      </c>
      <c r="U101" s="14">
        <f t="shared" si="36"/>
        <v>12</v>
      </c>
      <c r="V101" s="13" t="str">
        <f t="shared" si="37"/>
        <v>Risky</v>
      </c>
      <c r="W101" s="13" t="str">
        <f t="shared" si="39"/>
        <v>RISK BLOCKED: Unsupported action prevented; Try New Mission.</v>
      </c>
      <c r="X101" s="13" t="str">
        <f t="shared" si="40"/>
        <v>GAME OVER; trust 5. The thruster blast pushes the technician away from the ship and damages critical spacesuit equipment.</v>
      </c>
      <c r="Y101" s="13" t="str">
        <f t="shared" si="38"/>
        <v>Risky answer | Retrieval 0% | Ranking 40% | Grounding 10% | Citation 0% | Hallucination Risk 90% | Trust 12%</v>
      </c>
      <c r="Z101" s="15"/>
      <c r="AA101" s="16" t="s">
        <v>23</v>
      </c>
      <c r="AB101" s="17"/>
    </row>
    <row r="102" spans="1:28" ht="78" customHeight="1">
      <c r="A102" s="12" t="s">
        <v>308</v>
      </c>
      <c r="B102" s="12" t="s">
        <v>153</v>
      </c>
      <c r="C102" s="12" t="s">
        <v>154</v>
      </c>
      <c r="D102" s="12" t="s">
        <v>155</v>
      </c>
      <c r="E102" s="12" t="s">
        <v>193</v>
      </c>
      <c r="F102" s="12" t="s">
        <v>309</v>
      </c>
      <c r="G102" s="12" t="s">
        <v>195</v>
      </c>
      <c r="H102" s="12" t="s">
        <v>310</v>
      </c>
      <c r="I102" s="12" t="s">
        <v>197</v>
      </c>
      <c r="J102" s="12" t="s">
        <v>311</v>
      </c>
      <c r="K102" s="12" t="s">
        <v>199</v>
      </c>
      <c r="L102" s="12" t="s">
        <v>312</v>
      </c>
      <c r="M102" s="13">
        <f t="shared" ref="M102:M125" si="41">IF(E102="K1",1,IF(G102="K1",2,IF(I102="K1",3,4)))</f>
        <v>1</v>
      </c>
      <c r="N102" s="13">
        <f t="shared" ref="N102:N125" si="42">IF(E102="K2",1,IF(G102="K2",2,IF(I102="K2",3,4)))</f>
        <v>2</v>
      </c>
      <c r="O102" s="13" t="str">
        <f t="shared" ref="O102:O125" si="43">IF(AND(M102&lt;=2,N102&lt;=2),"Grounded",IF(OR(M102&lt;=2,N102&lt;=2),"Partial","Risky"))</f>
        <v>Grounded</v>
      </c>
      <c r="P102" s="14">
        <f t="shared" ref="P102:P125" si="44">IF(O102="Grounded",100,IF(O102="Partial",50,0))</f>
        <v>100</v>
      </c>
      <c r="Q102" s="14">
        <f t="shared" ref="Q102:Q125" si="45">MAX(0,50-ABS(M102-1)*15)+MAX(0,50-ABS(N102-2)*15)</f>
        <v>100</v>
      </c>
      <c r="R102" s="14">
        <f t="shared" ref="R102:R125" si="46">IF(O102="Grounded",100,IF(O102="Partial",60,10))</f>
        <v>100</v>
      </c>
      <c r="S102" s="14">
        <f t="shared" ref="S102:S125" si="47">IF(O102="Grounded",100,IF(O102="Partial",50,0))</f>
        <v>100</v>
      </c>
      <c r="T102" s="14">
        <f t="shared" ref="T102:T125" si="48">IF(O102="Grounded",0,IF(O102="Partial",40,90))</f>
        <v>0</v>
      </c>
      <c r="U102" s="14">
        <f t="shared" ref="U102:U125" si="49">ROUND((P102+Q102+R102+S102+(100-T102))/5,0)</f>
        <v>100</v>
      </c>
      <c r="V102" s="13" t="str">
        <f t="shared" ref="V102:V125" si="50">O102</f>
        <v>Grounded</v>
      </c>
      <c r="W102" s="13" t="str">
        <f t="shared" ref="W102:W125" si="51">IF(O102="Grounded","MISSION SUCCESS: The antenna remains protected until the storm passes, preserving long-range communications.",IF(O102="Partial","MISSION PROTECTED: Response held for more evidence; Try New Mission.","RISK BLOCKED: Unsupported action prevented; Try New Mission."))</f>
        <v>MISSION SUCCESS: The antenna remains protected until the storm passes, preserving long-range communications.</v>
      </c>
      <c r="X102" s="13" t="str">
        <f t="shared" ref="X102:X125" si="52">IF(O102="Grounded","MISSION SUCCESS + PROCESS WARNING; trust 70. The antenna remains protected until the storm passes, preserving long-range communications.",IF(O102="Partial","MISSION DELAYED; trust 35. The crew postpones external communication while checking the debris alert.","GAME OVER; trust 5. High-velocity debris strikes the extended antenna, destroying the ship's long-range communication system."))</f>
        <v>MISSION SUCCESS + PROCESS WARNING; trust 70. The antenna remains protected until the storm passes, preserving long-range communications.</v>
      </c>
      <c r="Y102" s="13" t="str">
        <f t="shared" ref="Y102:Y125" si="53">O102&amp;" answer | Retrieval "&amp;P102&amp;"% | Ranking "&amp;Q102&amp;"% | Grounding "&amp;R102&amp;"% | Citation "&amp;S102&amp;"% | Hallucination Risk "&amp;T102&amp;"% | Trust "&amp;U102&amp;"%"</f>
        <v>Grounded answer | Retrieval 100% | Ranking 100% | Grounding 100% | Citation 100% | Hallucination Risk 0% | Trust 100%</v>
      </c>
      <c r="Z102" s="15" t="s">
        <v>621</v>
      </c>
      <c r="AA102" s="16" t="s">
        <v>618</v>
      </c>
      <c r="AB102" s="17"/>
    </row>
    <row r="103" spans="1:28" ht="78" customHeight="1">
      <c r="A103" s="12" t="s">
        <v>313</v>
      </c>
      <c r="B103" s="12" t="s">
        <v>153</v>
      </c>
      <c r="C103" s="12" t="s">
        <v>154</v>
      </c>
      <c r="D103" s="12" t="s">
        <v>155</v>
      </c>
      <c r="E103" s="12" t="s">
        <v>193</v>
      </c>
      <c r="F103" s="12" t="s">
        <v>309</v>
      </c>
      <c r="G103" s="12" t="s">
        <v>195</v>
      </c>
      <c r="H103" s="12" t="s">
        <v>310</v>
      </c>
      <c r="I103" s="12" t="s">
        <v>199</v>
      </c>
      <c r="J103" s="12" t="s">
        <v>312</v>
      </c>
      <c r="K103" s="12" t="s">
        <v>197</v>
      </c>
      <c r="L103" s="12" t="s">
        <v>311</v>
      </c>
      <c r="M103" s="13">
        <f t="shared" si="41"/>
        <v>1</v>
      </c>
      <c r="N103" s="13">
        <f t="shared" si="42"/>
        <v>2</v>
      </c>
      <c r="O103" s="13" t="str">
        <f t="shared" si="43"/>
        <v>Grounded</v>
      </c>
      <c r="P103" s="14">
        <f t="shared" si="44"/>
        <v>100</v>
      </c>
      <c r="Q103" s="14">
        <f t="shared" si="45"/>
        <v>100</v>
      </c>
      <c r="R103" s="14">
        <f t="shared" si="46"/>
        <v>100</v>
      </c>
      <c r="S103" s="14">
        <f t="shared" si="47"/>
        <v>100</v>
      </c>
      <c r="T103" s="14">
        <f t="shared" si="48"/>
        <v>0</v>
      </c>
      <c r="U103" s="14">
        <f t="shared" si="49"/>
        <v>100</v>
      </c>
      <c r="V103" s="13" t="str">
        <f t="shared" si="50"/>
        <v>Grounded</v>
      </c>
      <c r="W103" s="13" t="str">
        <f t="shared" si="51"/>
        <v>MISSION SUCCESS: The antenna remains protected until the storm passes, preserving long-range communications.</v>
      </c>
      <c r="X103" s="13" t="str">
        <f t="shared" si="52"/>
        <v>MISSION SUCCESS + PROCESS WARNING; trust 70. The antenna remains protected until the storm passes, preserving long-range communications.</v>
      </c>
      <c r="Y103" s="13" t="str">
        <f t="shared" si="53"/>
        <v>Grounded answer | Retrieval 100% | Ranking 100% | Grounding 100% | Citation 100% | Hallucination Risk 0% | Trust 100%</v>
      </c>
      <c r="Z103" s="15"/>
      <c r="AA103" s="16" t="s">
        <v>23</v>
      </c>
      <c r="AB103" s="17"/>
    </row>
    <row r="104" spans="1:28" ht="78" customHeight="1">
      <c r="A104" s="12" t="s">
        <v>314</v>
      </c>
      <c r="B104" s="12" t="s">
        <v>153</v>
      </c>
      <c r="C104" s="12" t="s">
        <v>154</v>
      </c>
      <c r="D104" s="12" t="s">
        <v>155</v>
      </c>
      <c r="E104" s="12" t="s">
        <v>193</v>
      </c>
      <c r="F104" s="12" t="s">
        <v>309</v>
      </c>
      <c r="G104" s="12" t="s">
        <v>197</v>
      </c>
      <c r="H104" s="12" t="s">
        <v>311</v>
      </c>
      <c r="I104" s="12" t="s">
        <v>195</v>
      </c>
      <c r="J104" s="12" t="s">
        <v>310</v>
      </c>
      <c r="K104" s="12" t="s">
        <v>199</v>
      </c>
      <c r="L104" s="12" t="s">
        <v>312</v>
      </c>
      <c r="M104" s="13">
        <f t="shared" si="41"/>
        <v>1</v>
      </c>
      <c r="N104" s="13">
        <f t="shared" si="42"/>
        <v>3</v>
      </c>
      <c r="O104" s="13" t="str">
        <f t="shared" si="43"/>
        <v>Partial</v>
      </c>
      <c r="P104" s="14">
        <f t="shared" si="44"/>
        <v>50</v>
      </c>
      <c r="Q104" s="14">
        <f t="shared" si="45"/>
        <v>85</v>
      </c>
      <c r="R104" s="14">
        <f t="shared" si="46"/>
        <v>60</v>
      </c>
      <c r="S104" s="14">
        <f t="shared" si="47"/>
        <v>50</v>
      </c>
      <c r="T104" s="14">
        <f t="shared" si="48"/>
        <v>40</v>
      </c>
      <c r="U104" s="14">
        <f t="shared" si="49"/>
        <v>61</v>
      </c>
      <c r="V104" s="13" t="str">
        <f t="shared" si="50"/>
        <v>Partial</v>
      </c>
      <c r="W104" s="13" t="str">
        <f t="shared" si="51"/>
        <v>MISSION PROTECTED: Response held for more evidence; Try New Mission.</v>
      </c>
      <c r="X104" s="13" t="str">
        <f t="shared" si="52"/>
        <v>MISSION DELAYED; trust 35. The crew postpones external communication while checking the debris alert.</v>
      </c>
      <c r="Y104" s="13" t="str">
        <f t="shared" si="53"/>
        <v>Partial answer | Retrieval 50% | Ranking 85% | Grounding 60% | Citation 50% | Hallucination Risk 40% | Trust 61%</v>
      </c>
      <c r="Z104" s="15"/>
      <c r="AA104" s="16" t="s">
        <v>23</v>
      </c>
      <c r="AB104" s="17"/>
    </row>
    <row r="105" spans="1:28" ht="78" customHeight="1">
      <c r="A105" s="12" t="s">
        <v>315</v>
      </c>
      <c r="B105" s="12" t="s">
        <v>153</v>
      </c>
      <c r="C105" s="12" t="s">
        <v>154</v>
      </c>
      <c r="D105" s="12" t="s">
        <v>155</v>
      </c>
      <c r="E105" s="12" t="s">
        <v>193</v>
      </c>
      <c r="F105" s="12" t="s">
        <v>309</v>
      </c>
      <c r="G105" s="12" t="s">
        <v>197</v>
      </c>
      <c r="H105" s="12" t="s">
        <v>311</v>
      </c>
      <c r="I105" s="12" t="s">
        <v>199</v>
      </c>
      <c r="J105" s="12" t="s">
        <v>312</v>
      </c>
      <c r="K105" s="12" t="s">
        <v>195</v>
      </c>
      <c r="L105" s="12" t="s">
        <v>310</v>
      </c>
      <c r="M105" s="13">
        <f t="shared" si="41"/>
        <v>1</v>
      </c>
      <c r="N105" s="13">
        <f t="shared" si="42"/>
        <v>4</v>
      </c>
      <c r="O105" s="13" t="str">
        <f t="shared" si="43"/>
        <v>Partial</v>
      </c>
      <c r="P105" s="14">
        <f t="shared" si="44"/>
        <v>50</v>
      </c>
      <c r="Q105" s="14">
        <f t="shared" si="45"/>
        <v>70</v>
      </c>
      <c r="R105" s="14">
        <f t="shared" si="46"/>
        <v>60</v>
      </c>
      <c r="S105" s="14">
        <f t="shared" si="47"/>
        <v>50</v>
      </c>
      <c r="T105" s="14">
        <f t="shared" si="48"/>
        <v>40</v>
      </c>
      <c r="U105" s="14">
        <f t="shared" si="49"/>
        <v>58</v>
      </c>
      <c r="V105" s="13" t="str">
        <f t="shared" si="50"/>
        <v>Partial</v>
      </c>
      <c r="W105" s="13" t="str">
        <f t="shared" si="51"/>
        <v>MISSION PROTECTED: Response held for more evidence; Try New Mission.</v>
      </c>
      <c r="X105" s="13" t="str">
        <f t="shared" si="52"/>
        <v>MISSION DELAYED; trust 35. The crew postpones external communication while checking the debris alert.</v>
      </c>
      <c r="Y105" s="13" t="str">
        <f t="shared" si="53"/>
        <v>Partial answer | Retrieval 50% | Ranking 70% | Grounding 60% | Citation 50% | Hallucination Risk 40% | Trust 58%</v>
      </c>
      <c r="Z105" s="15"/>
      <c r="AA105" s="16" t="s">
        <v>23</v>
      </c>
      <c r="AB105" s="17"/>
    </row>
    <row r="106" spans="1:28" ht="78" customHeight="1">
      <c r="A106" s="12" t="s">
        <v>316</v>
      </c>
      <c r="B106" s="12" t="s">
        <v>153</v>
      </c>
      <c r="C106" s="12" t="s">
        <v>154</v>
      </c>
      <c r="D106" s="12" t="s">
        <v>155</v>
      </c>
      <c r="E106" s="12" t="s">
        <v>193</v>
      </c>
      <c r="F106" s="12" t="s">
        <v>309</v>
      </c>
      <c r="G106" s="12" t="s">
        <v>199</v>
      </c>
      <c r="H106" s="12" t="s">
        <v>312</v>
      </c>
      <c r="I106" s="12" t="s">
        <v>195</v>
      </c>
      <c r="J106" s="12" t="s">
        <v>310</v>
      </c>
      <c r="K106" s="12" t="s">
        <v>197</v>
      </c>
      <c r="L106" s="12" t="s">
        <v>311</v>
      </c>
      <c r="M106" s="13">
        <f t="shared" si="41"/>
        <v>1</v>
      </c>
      <c r="N106" s="13">
        <f t="shared" si="42"/>
        <v>3</v>
      </c>
      <c r="O106" s="13" t="str">
        <f t="shared" si="43"/>
        <v>Partial</v>
      </c>
      <c r="P106" s="14">
        <f t="shared" si="44"/>
        <v>50</v>
      </c>
      <c r="Q106" s="14">
        <f t="shared" si="45"/>
        <v>85</v>
      </c>
      <c r="R106" s="14">
        <f t="shared" si="46"/>
        <v>60</v>
      </c>
      <c r="S106" s="14">
        <f t="shared" si="47"/>
        <v>50</v>
      </c>
      <c r="T106" s="14">
        <f t="shared" si="48"/>
        <v>40</v>
      </c>
      <c r="U106" s="14">
        <f t="shared" si="49"/>
        <v>61</v>
      </c>
      <c r="V106" s="13" t="str">
        <f t="shared" si="50"/>
        <v>Partial</v>
      </c>
      <c r="W106" s="13" t="str">
        <f t="shared" si="51"/>
        <v>MISSION PROTECTED: Response held for more evidence; Try New Mission.</v>
      </c>
      <c r="X106" s="13" t="str">
        <f t="shared" si="52"/>
        <v>MISSION DELAYED; trust 35. The crew postpones external communication while checking the debris alert.</v>
      </c>
      <c r="Y106" s="13" t="str">
        <f t="shared" si="53"/>
        <v>Partial answer | Retrieval 50% | Ranking 85% | Grounding 60% | Citation 50% | Hallucination Risk 40% | Trust 61%</v>
      </c>
      <c r="Z106" s="15"/>
      <c r="AA106" s="16" t="s">
        <v>23</v>
      </c>
      <c r="AB106" s="17"/>
    </row>
    <row r="107" spans="1:28" ht="78" customHeight="1">
      <c r="A107" s="12" t="s">
        <v>317</v>
      </c>
      <c r="B107" s="12" t="s">
        <v>153</v>
      </c>
      <c r="C107" s="12" t="s">
        <v>154</v>
      </c>
      <c r="D107" s="12" t="s">
        <v>155</v>
      </c>
      <c r="E107" s="12" t="s">
        <v>193</v>
      </c>
      <c r="F107" s="12" t="s">
        <v>309</v>
      </c>
      <c r="G107" s="12" t="s">
        <v>199</v>
      </c>
      <c r="H107" s="12" t="s">
        <v>312</v>
      </c>
      <c r="I107" s="12" t="s">
        <v>197</v>
      </c>
      <c r="J107" s="12" t="s">
        <v>311</v>
      </c>
      <c r="K107" s="12" t="s">
        <v>195</v>
      </c>
      <c r="L107" s="12" t="s">
        <v>310</v>
      </c>
      <c r="M107" s="13">
        <f t="shared" si="41"/>
        <v>1</v>
      </c>
      <c r="N107" s="13">
        <f t="shared" si="42"/>
        <v>4</v>
      </c>
      <c r="O107" s="13" t="str">
        <f t="shared" si="43"/>
        <v>Partial</v>
      </c>
      <c r="P107" s="14">
        <f t="shared" si="44"/>
        <v>50</v>
      </c>
      <c r="Q107" s="14">
        <f t="shared" si="45"/>
        <v>70</v>
      </c>
      <c r="R107" s="14">
        <f t="shared" si="46"/>
        <v>60</v>
      </c>
      <c r="S107" s="14">
        <f t="shared" si="47"/>
        <v>50</v>
      </c>
      <c r="T107" s="14">
        <f t="shared" si="48"/>
        <v>40</v>
      </c>
      <c r="U107" s="14">
        <f t="shared" si="49"/>
        <v>58</v>
      </c>
      <c r="V107" s="13" t="str">
        <f t="shared" si="50"/>
        <v>Partial</v>
      </c>
      <c r="W107" s="13" t="str">
        <f t="shared" si="51"/>
        <v>MISSION PROTECTED: Response held for more evidence; Try New Mission.</v>
      </c>
      <c r="X107" s="13" t="str">
        <f t="shared" si="52"/>
        <v>MISSION DELAYED; trust 35. The crew postpones external communication while checking the debris alert.</v>
      </c>
      <c r="Y107" s="13" t="str">
        <f t="shared" si="53"/>
        <v>Partial answer | Retrieval 50% | Ranking 70% | Grounding 60% | Citation 50% | Hallucination Risk 40% | Trust 58%</v>
      </c>
      <c r="Z107" s="15"/>
      <c r="AA107" s="16" t="s">
        <v>23</v>
      </c>
      <c r="AB107" s="17"/>
    </row>
    <row r="108" spans="1:28" ht="78" customHeight="1">
      <c r="A108" s="12" t="s">
        <v>318</v>
      </c>
      <c r="B108" s="12" t="s">
        <v>153</v>
      </c>
      <c r="C108" s="12" t="s">
        <v>154</v>
      </c>
      <c r="D108" s="12" t="s">
        <v>155</v>
      </c>
      <c r="E108" s="12" t="s">
        <v>195</v>
      </c>
      <c r="F108" s="12" t="s">
        <v>310</v>
      </c>
      <c r="G108" s="12" t="s">
        <v>193</v>
      </c>
      <c r="H108" s="12" t="s">
        <v>309</v>
      </c>
      <c r="I108" s="12" t="s">
        <v>197</v>
      </c>
      <c r="J108" s="12" t="s">
        <v>311</v>
      </c>
      <c r="K108" s="12" t="s">
        <v>199</v>
      </c>
      <c r="L108" s="12" t="s">
        <v>312</v>
      </c>
      <c r="M108" s="13">
        <f t="shared" si="41"/>
        <v>2</v>
      </c>
      <c r="N108" s="13">
        <f t="shared" si="42"/>
        <v>1</v>
      </c>
      <c r="O108" s="13" t="str">
        <f t="shared" si="43"/>
        <v>Grounded</v>
      </c>
      <c r="P108" s="14">
        <f t="shared" si="44"/>
        <v>100</v>
      </c>
      <c r="Q108" s="14">
        <f t="shared" si="45"/>
        <v>70</v>
      </c>
      <c r="R108" s="14">
        <f t="shared" si="46"/>
        <v>100</v>
      </c>
      <c r="S108" s="14">
        <f t="shared" si="47"/>
        <v>100</v>
      </c>
      <c r="T108" s="14">
        <f t="shared" si="48"/>
        <v>0</v>
      </c>
      <c r="U108" s="14">
        <f t="shared" si="49"/>
        <v>94</v>
      </c>
      <c r="V108" s="13" t="str">
        <f t="shared" si="50"/>
        <v>Grounded</v>
      </c>
      <c r="W108" s="13" t="str">
        <f t="shared" si="51"/>
        <v>MISSION SUCCESS: The antenna remains protected until the storm passes, preserving long-range communications.</v>
      </c>
      <c r="X108" s="13" t="str">
        <f t="shared" si="52"/>
        <v>MISSION SUCCESS + PROCESS WARNING; trust 70. The antenna remains protected until the storm passes, preserving long-range communications.</v>
      </c>
      <c r="Y108" s="13" t="str">
        <f t="shared" si="53"/>
        <v>Grounded answer | Retrieval 100% | Ranking 70% | Grounding 100% | Citation 100% | Hallucination Risk 0% | Trust 94%</v>
      </c>
      <c r="Z108" s="15"/>
      <c r="AA108" s="16" t="s">
        <v>23</v>
      </c>
      <c r="AB108" s="17"/>
    </row>
    <row r="109" spans="1:28" ht="78" customHeight="1">
      <c r="A109" s="12" t="s">
        <v>319</v>
      </c>
      <c r="B109" s="12" t="s">
        <v>153</v>
      </c>
      <c r="C109" s="12" t="s">
        <v>154</v>
      </c>
      <c r="D109" s="12" t="s">
        <v>155</v>
      </c>
      <c r="E109" s="12" t="s">
        <v>195</v>
      </c>
      <c r="F109" s="12" t="s">
        <v>310</v>
      </c>
      <c r="G109" s="12" t="s">
        <v>193</v>
      </c>
      <c r="H109" s="12" t="s">
        <v>309</v>
      </c>
      <c r="I109" s="12" t="s">
        <v>199</v>
      </c>
      <c r="J109" s="12" t="s">
        <v>312</v>
      </c>
      <c r="K109" s="12" t="s">
        <v>197</v>
      </c>
      <c r="L109" s="12" t="s">
        <v>311</v>
      </c>
      <c r="M109" s="13">
        <f t="shared" si="41"/>
        <v>2</v>
      </c>
      <c r="N109" s="13">
        <f t="shared" si="42"/>
        <v>1</v>
      </c>
      <c r="O109" s="13" t="str">
        <f t="shared" si="43"/>
        <v>Grounded</v>
      </c>
      <c r="P109" s="14">
        <f t="shared" si="44"/>
        <v>100</v>
      </c>
      <c r="Q109" s="14">
        <f t="shared" si="45"/>
        <v>70</v>
      </c>
      <c r="R109" s="14">
        <f t="shared" si="46"/>
        <v>100</v>
      </c>
      <c r="S109" s="14">
        <f t="shared" si="47"/>
        <v>100</v>
      </c>
      <c r="T109" s="14">
        <f t="shared" si="48"/>
        <v>0</v>
      </c>
      <c r="U109" s="14">
        <f t="shared" si="49"/>
        <v>94</v>
      </c>
      <c r="V109" s="13" t="str">
        <f t="shared" si="50"/>
        <v>Grounded</v>
      </c>
      <c r="W109" s="13" t="str">
        <f t="shared" si="51"/>
        <v>MISSION SUCCESS: The antenna remains protected until the storm passes, preserving long-range communications.</v>
      </c>
      <c r="X109" s="13" t="str">
        <f t="shared" si="52"/>
        <v>MISSION SUCCESS + PROCESS WARNING; trust 70. The antenna remains protected until the storm passes, preserving long-range communications.</v>
      </c>
      <c r="Y109" s="13" t="str">
        <f t="shared" si="53"/>
        <v>Grounded answer | Retrieval 100% | Ranking 70% | Grounding 100% | Citation 100% | Hallucination Risk 0% | Trust 94%</v>
      </c>
      <c r="Z109" s="15"/>
      <c r="AA109" s="16" t="s">
        <v>23</v>
      </c>
      <c r="AB109" s="17"/>
    </row>
    <row r="110" spans="1:28" ht="78" customHeight="1">
      <c r="A110" s="12" t="s">
        <v>320</v>
      </c>
      <c r="B110" s="12" t="s">
        <v>153</v>
      </c>
      <c r="C110" s="12" t="s">
        <v>154</v>
      </c>
      <c r="D110" s="12" t="s">
        <v>155</v>
      </c>
      <c r="E110" s="12" t="s">
        <v>195</v>
      </c>
      <c r="F110" s="12" t="s">
        <v>310</v>
      </c>
      <c r="G110" s="12" t="s">
        <v>197</v>
      </c>
      <c r="H110" s="12" t="s">
        <v>311</v>
      </c>
      <c r="I110" s="12" t="s">
        <v>193</v>
      </c>
      <c r="J110" s="12" t="s">
        <v>309</v>
      </c>
      <c r="K110" s="12" t="s">
        <v>199</v>
      </c>
      <c r="L110" s="12" t="s">
        <v>312</v>
      </c>
      <c r="M110" s="13">
        <f t="shared" si="41"/>
        <v>3</v>
      </c>
      <c r="N110" s="13">
        <f t="shared" si="42"/>
        <v>1</v>
      </c>
      <c r="O110" s="13" t="str">
        <f t="shared" si="43"/>
        <v>Partial</v>
      </c>
      <c r="P110" s="14">
        <f t="shared" si="44"/>
        <v>50</v>
      </c>
      <c r="Q110" s="14">
        <f t="shared" si="45"/>
        <v>55</v>
      </c>
      <c r="R110" s="14">
        <f t="shared" si="46"/>
        <v>60</v>
      </c>
      <c r="S110" s="14">
        <f t="shared" si="47"/>
        <v>50</v>
      </c>
      <c r="T110" s="14">
        <f t="shared" si="48"/>
        <v>40</v>
      </c>
      <c r="U110" s="14">
        <f t="shared" si="49"/>
        <v>55</v>
      </c>
      <c r="V110" s="13" t="str">
        <f t="shared" si="50"/>
        <v>Partial</v>
      </c>
      <c r="W110" s="13" t="str">
        <f t="shared" si="51"/>
        <v>MISSION PROTECTED: Response held for more evidence; Try New Mission.</v>
      </c>
      <c r="X110" s="13" t="str">
        <f t="shared" si="52"/>
        <v>MISSION DELAYED; trust 35. The crew postpones external communication while checking the debris alert.</v>
      </c>
      <c r="Y110" s="13" t="str">
        <f t="shared" si="53"/>
        <v>Partial answer | Retrieval 50% | Ranking 55% | Grounding 60% | Citation 50% | Hallucination Risk 40% | Trust 55%</v>
      </c>
      <c r="Z110" s="15"/>
      <c r="AA110" s="16" t="s">
        <v>23</v>
      </c>
      <c r="AB110" s="17"/>
    </row>
    <row r="111" spans="1:28" ht="78" customHeight="1">
      <c r="A111" s="12" t="s">
        <v>321</v>
      </c>
      <c r="B111" s="12" t="s">
        <v>153</v>
      </c>
      <c r="C111" s="12" t="s">
        <v>154</v>
      </c>
      <c r="D111" s="12" t="s">
        <v>155</v>
      </c>
      <c r="E111" s="12" t="s">
        <v>195</v>
      </c>
      <c r="F111" s="12" t="s">
        <v>310</v>
      </c>
      <c r="G111" s="12" t="s">
        <v>197</v>
      </c>
      <c r="H111" s="12" t="s">
        <v>311</v>
      </c>
      <c r="I111" s="12" t="s">
        <v>199</v>
      </c>
      <c r="J111" s="12" t="s">
        <v>312</v>
      </c>
      <c r="K111" s="12" t="s">
        <v>193</v>
      </c>
      <c r="L111" s="12" t="s">
        <v>309</v>
      </c>
      <c r="M111" s="13">
        <f t="shared" si="41"/>
        <v>4</v>
      </c>
      <c r="N111" s="13">
        <f t="shared" si="42"/>
        <v>1</v>
      </c>
      <c r="O111" s="13" t="str">
        <f t="shared" si="43"/>
        <v>Partial</v>
      </c>
      <c r="P111" s="14">
        <f t="shared" si="44"/>
        <v>50</v>
      </c>
      <c r="Q111" s="14">
        <f t="shared" si="45"/>
        <v>40</v>
      </c>
      <c r="R111" s="14">
        <f t="shared" si="46"/>
        <v>60</v>
      </c>
      <c r="S111" s="14">
        <f t="shared" si="47"/>
        <v>50</v>
      </c>
      <c r="T111" s="14">
        <f t="shared" si="48"/>
        <v>40</v>
      </c>
      <c r="U111" s="14">
        <f t="shared" si="49"/>
        <v>52</v>
      </c>
      <c r="V111" s="13" t="str">
        <f t="shared" si="50"/>
        <v>Partial</v>
      </c>
      <c r="W111" s="13" t="str">
        <f t="shared" si="51"/>
        <v>MISSION PROTECTED: Response held for more evidence; Try New Mission.</v>
      </c>
      <c r="X111" s="13" t="str">
        <f t="shared" si="52"/>
        <v>MISSION DELAYED; trust 35. The crew postpones external communication while checking the debris alert.</v>
      </c>
      <c r="Y111" s="13" t="str">
        <f t="shared" si="53"/>
        <v>Partial answer | Retrieval 50% | Ranking 40% | Grounding 60% | Citation 50% | Hallucination Risk 40% | Trust 52%</v>
      </c>
      <c r="Z111" s="15"/>
      <c r="AA111" s="16" t="s">
        <v>23</v>
      </c>
      <c r="AB111" s="17"/>
    </row>
    <row r="112" spans="1:28" ht="78" customHeight="1">
      <c r="A112" s="12" t="s">
        <v>322</v>
      </c>
      <c r="B112" s="12" t="s">
        <v>153</v>
      </c>
      <c r="C112" s="12" t="s">
        <v>154</v>
      </c>
      <c r="D112" s="12" t="s">
        <v>155</v>
      </c>
      <c r="E112" s="12" t="s">
        <v>195</v>
      </c>
      <c r="F112" s="12" t="s">
        <v>310</v>
      </c>
      <c r="G112" s="12" t="s">
        <v>199</v>
      </c>
      <c r="H112" s="12" t="s">
        <v>312</v>
      </c>
      <c r="I112" s="12" t="s">
        <v>193</v>
      </c>
      <c r="J112" s="12" t="s">
        <v>309</v>
      </c>
      <c r="K112" s="12" t="s">
        <v>197</v>
      </c>
      <c r="L112" s="12" t="s">
        <v>311</v>
      </c>
      <c r="M112" s="13">
        <f t="shared" si="41"/>
        <v>3</v>
      </c>
      <c r="N112" s="13">
        <f t="shared" si="42"/>
        <v>1</v>
      </c>
      <c r="O112" s="13" t="str">
        <f t="shared" si="43"/>
        <v>Partial</v>
      </c>
      <c r="P112" s="14">
        <f t="shared" si="44"/>
        <v>50</v>
      </c>
      <c r="Q112" s="14">
        <f t="shared" si="45"/>
        <v>55</v>
      </c>
      <c r="R112" s="14">
        <f t="shared" si="46"/>
        <v>60</v>
      </c>
      <c r="S112" s="14">
        <f t="shared" si="47"/>
        <v>50</v>
      </c>
      <c r="T112" s="14">
        <f t="shared" si="48"/>
        <v>40</v>
      </c>
      <c r="U112" s="14">
        <f t="shared" si="49"/>
        <v>55</v>
      </c>
      <c r="V112" s="13" t="str">
        <f t="shared" si="50"/>
        <v>Partial</v>
      </c>
      <c r="W112" s="13" t="str">
        <f t="shared" si="51"/>
        <v>MISSION PROTECTED: Response held for more evidence; Try New Mission.</v>
      </c>
      <c r="X112" s="13" t="str">
        <f t="shared" si="52"/>
        <v>MISSION DELAYED; trust 35. The crew postpones external communication while checking the debris alert.</v>
      </c>
      <c r="Y112" s="13" t="str">
        <f t="shared" si="53"/>
        <v>Partial answer | Retrieval 50% | Ranking 55% | Grounding 60% | Citation 50% | Hallucination Risk 40% | Trust 55%</v>
      </c>
      <c r="Z112" s="15"/>
      <c r="AA112" s="16" t="s">
        <v>23</v>
      </c>
      <c r="AB112" s="17"/>
    </row>
    <row r="113" spans="1:28" ht="78" customHeight="1">
      <c r="A113" s="12" t="s">
        <v>323</v>
      </c>
      <c r="B113" s="12" t="s">
        <v>153</v>
      </c>
      <c r="C113" s="12" t="s">
        <v>154</v>
      </c>
      <c r="D113" s="12" t="s">
        <v>155</v>
      </c>
      <c r="E113" s="12" t="s">
        <v>195</v>
      </c>
      <c r="F113" s="12" t="s">
        <v>310</v>
      </c>
      <c r="G113" s="12" t="s">
        <v>199</v>
      </c>
      <c r="H113" s="12" t="s">
        <v>312</v>
      </c>
      <c r="I113" s="12" t="s">
        <v>197</v>
      </c>
      <c r="J113" s="12" t="s">
        <v>311</v>
      </c>
      <c r="K113" s="12" t="s">
        <v>193</v>
      </c>
      <c r="L113" s="12" t="s">
        <v>309</v>
      </c>
      <c r="M113" s="13">
        <f t="shared" si="41"/>
        <v>4</v>
      </c>
      <c r="N113" s="13">
        <f t="shared" si="42"/>
        <v>1</v>
      </c>
      <c r="O113" s="13" t="str">
        <f t="shared" si="43"/>
        <v>Partial</v>
      </c>
      <c r="P113" s="14">
        <f t="shared" si="44"/>
        <v>50</v>
      </c>
      <c r="Q113" s="14">
        <f t="shared" si="45"/>
        <v>40</v>
      </c>
      <c r="R113" s="14">
        <f t="shared" si="46"/>
        <v>60</v>
      </c>
      <c r="S113" s="14">
        <f t="shared" si="47"/>
        <v>50</v>
      </c>
      <c r="T113" s="14">
        <f t="shared" si="48"/>
        <v>40</v>
      </c>
      <c r="U113" s="14">
        <f t="shared" si="49"/>
        <v>52</v>
      </c>
      <c r="V113" s="13" t="str">
        <f t="shared" si="50"/>
        <v>Partial</v>
      </c>
      <c r="W113" s="13" t="str">
        <f t="shared" si="51"/>
        <v>MISSION PROTECTED: Response held for more evidence; Try New Mission.</v>
      </c>
      <c r="X113" s="13" t="str">
        <f t="shared" si="52"/>
        <v>MISSION DELAYED; trust 35. The crew postpones external communication while checking the debris alert.</v>
      </c>
      <c r="Y113" s="13" t="str">
        <f t="shared" si="53"/>
        <v>Partial answer | Retrieval 50% | Ranking 40% | Grounding 60% | Citation 50% | Hallucination Risk 40% | Trust 52%</v>
      </c>
      <c r="Z113" s="15"/>
      <c r="AA113" s="16" t="s">
        <v>23</v>
      </c>
      <c r="AB113" s="17"/>
    </row>
    <row r="114" spans="1:28" ht="78" customHeight="1">
      <c r="A114" s="12" t="s">
        <v>324</v>
      </c>
      <c r="B114" s="12" t="s">
        <v>153</v>
      </c>
      <c r="C114" s="12" t="s">
        <v>154</v>
      </c>
      <c r="D114" s="12" t="s">
        <v>155</v>
      </c>
      <c r="E114" s="12" t="s">
        <v>197</v>
      </c>
      <c r="F114" s="12" t="s">
        <v>311</v>
      </c>
      <c r="G114" s="12" t="s">
        <v>193</v>
      </c>
      <c r="H114" s="12" t="s">
        <v>309</v>
      </c>
      <c r="I114" s="12" t="s">
        <v>195</v>
      </c>
      <c r="J114" s="12" t="s">
        <v>310</v>
      </c>
      <c r="K114" s="12" t="s">
        <v>199</v>
      </c>
      <c r="L114" s="12" t="s">
        <v>312</v>
      </c>
      <c r="M114" s="13">
        <f t="shared" si="41"/>
        <v>2</v>
      </c>
      <c r="N114" s="13">
        <f t="shared" si="42"/>
        <v>3</v>
      </c>
      <c r="O114" s="13" t="str">
        <f t="shared" si="43"/>
        <v>Partial</v>
      </c>
      <c r="P114" s="14">
        <f t="shared" si="44"/>
        <v>50</v>
      </c>
      <c r="Q114" s="14">
        <f t="shared" si="45"/>
        <v>70</v>
      </c>
      <c r="R114" s="14">
        <f t="shared" si="46"/>
        <v>60</v>
      </c>
      <c r="S114" s="14">
        <f t="shared" si="47"/>
        <v>50</v>
      </c>
      <c r="T114" s="14">
        <f t="shared" si="48"/>
        <v>40</v>
      </c>
      <c r="U114" s="14">
        <f t="shared" si="49"/>
        <v>58</v>
      </c>
      <c r="V114" s="13" t="str">
        <f t="shared" si="50"/>
        <v>Partial</v>
      </c>
      <c r="W114" s="13" t="str">
        <f t="shared" si="51"/>
        <v>MISSION PROTECTED: Response held for more evidence; Try New Mission.</v>
      </c>
      <c r="X114" s="13" t="str">
        <f t="shared" si="52"/>
        <v>MISSION DELAYED; trust 35. The crew postpones external communication while checking the debris alert.</v>
      </c>
      <c r="Y114" s="13" t="str">
        <f t="shared" si="53"/>
        <v>Partial answer | Retrieval 50% | Ranking 70% | Grounding 60% | Citation 50% | Hallucination Risk 40% | Trust 58%</v>
      </c>
      <c r="Z114" s="15"/>
      <c r="AA114" s="16" t="s">
        <v>23</v>
      </c>
      <c r="AB114" s="17"/>
    </row>
    <row r="115" spans="1:28" ht="78" customHeight="1">
      <c r="A115" s="12" t="s">
        <v>325</v>
      </c>
      <c r="B115" s="12" t="s">
        <v>153</v>
      </c>
      <c r="C115" s="12" t="s">
        <v>154</v>
      </c>
      <c r="D115" s="12" t="s">
        <v>155</v>
      </c>
      <c r="E115" s="12" t="s">
        <v>197</v>
      </c>
      <c r="F115" s="12" t="s">
        <v>311</v>
      </c>
      <c r="G115" s="12" t="s">
        <v>193</v>
      </c>
      <c r="H115" s="12" t="s">
        <v>309</v>
      </c>
      <c r="I115" s="12" t="s">
        <v>199</v>
      </c>
      <c r="J115" s="12" t="s">
        <v>312</v>
      </c>
      <c r="K115" s="12" t="s">
        <v>195</v>
      </c>
      <c r="L115" s="12" t="s">
        <v>310</v>
      </c>
      <c r="M115" s="13">
        <f t="shared" si="41"/>
        <v>2</v>
      </c>
      <c r="N115" s="13">
        <f t="shared" si="42"/>
        <v>4</v>
      </c>
      <c r="O115" s="13" t="str">
        <f t="shared" si="43"/>
        <v>Partial</v>
      </c>
      <c r="P115" s="14">
        <f t="shared" si="44"/>
        <v>50</v>
      </c>
      <c r="Q115" s="14">
        <f t="shared" si="45"/>
        <v>55</v>
      </c>
      <c r="R115" s="14">
        <f t="shared" si="46"/>
        <v>60</v>
      </c>
      <c r="S115" s="14">
        <f t="shared" si="47"/>
        <v>50</v>
      </c>
      <c r="T115" s="14">
        <f t="shared" si="48"/>
        <v>40</v>
      </c>
      <c r="U115" s="14">
        <f t="shared" si="49"/>
        <v>55</v>
      </c>
      <c r="V115" s="13" t="str">
        <f t="shared" si="50"/>
        <v>Partial</v>
      </c>
      <c r="W115" s="13" t="str">
        <f t="shared" si="51"/>
        <v>MISSION PROTECTED: Response held for more evidence; Try New Mission.</v>
      </c>
      <c r="X115" s="13" t="str">
        <f t="shared" si="52"/>
        <v>MISSION DELAYED; trust 35. The crew postpones external communication while checking the debris alert.</v>
      </c>
      <c r="Y115" s="13" t="str">
        <f t="shared" si="53"/>
        <v>Partial answer | Retrieval 50% | Ranking 55% | Grounding 60% | Citation 50% | Hallucination Risk 40% | Trust 55%</v>
      </c>
      <c r="Z115" s="15"/>
      <c r="AA115" s="16" t="s">
        <v>23</v>
      </c>
      <c r="AB115" s="17"/>
    </row>
    <row r="116" spans="1:28" ht="78" customHeight="1">
      <c r="A116" s="12" t="s">
        <v>326</v>
      </c>
      <c r="B116" s="12" t="s">
        <v>153</v>
      </c>
      <c r="C116" s="12" t="s">
        <v>154</v>
      </c>
      <c r="D116" s="12" t="s">
        <v>155</v>
      </c>
      <c r="E116" s="12" t="s">
        <v>197</v>
      </c>
      <c r="F116" s="12" t="s">
        <v>311</v>
      </c>
      <c r="G116" s="12" t="s">
        <v>195</v>
      </c>
      <c r="H116" s="12" t="s">
        <v>310</v>
      </c>
      <c r="I116" s="12" t="s">
        <v>193</v>
      </c>
      <c r="J116" s="12" t="s">
        <v>309</v>
      </c>
      <c r="K116" s="12" t="s">
        <v>199</v>
      </c>
      <c r="L116" s="12" t="s">
        <v>312</v>
      </c>
      <c r="M116" s="13">
        <f t="shared" si="41"/>
        <v>3</v>
      </c>
      <c r="N116" s="13">
        <f t="shared" si="42"/>
        <v>2</v>
      </c>
      <c r="O116" s="13" t="str">
        <f t="shared" si="43"/>
        <v>Partial</v>
      </c>
      <c r="P116" s="14">
        <f t="shared" si="44"/>
        <v>50</v>
      </c>
      <c r="Q116" s="14">
        <f t="shared" si="45"/>
        <v>70</v>
      </c>
      <c r="R116" s="14">
        <f t="shared" si="46"/>
        <v>60</v>
      </c>
      <c r="S116" s="14">
        <f t="shared" si="47"/>
        <v>50</v>
      </c>
      <c r="T116" s="14">
        <f t="shared" si="48"/>
        <v>40</v>
      </c>
      <c r="U116" s="14">
        <f t="shared" si="49"/>
        <v>58</v>
      </c>
      <c r="V116" s="13" t="str">
        <f t="shared" si="50"/>
        <v>Partial</v>
      </c>
      <c r="W116" s="13" t="str">
        <f t="shared" si="51"/>
        <v>MISSION PROTECTED: Response held for more evidence; Try New Mission.</v>
      </c>
      <c r="X116" s="13" t="str">
        <f t="shared" si="52"/>
        <v>MISSION DELAYED; trust 35. The crew postpones external communication while checking the debris alert.</v>
      </c>
      <c r="Y116" s="13" t="str">
        <f t="shared" si="53"/>
        <v>Partial answer | Retrieval 50% | Ranking 70% | Grounding 60% | Citation 50% | Hallucination Risk 40% | Trust 58%</v>
      </c>
      <c r="Z116" s="15"/>
      <c r="AA116" s="16" t="s">
        <v>23</v>
      </c>
      <c r="AB116" s="17"/>
    </row>
    <row r="117" spans="1:28" ht="78" customHeight="1">
      <c r="A117" s="12" t="s">
        <v>327</v>
      </c>
      <c r="B117" s="12" t="s">
        <v>153</v>
      </c>
      <c r="C117" s="12" t="s">
        <v>154</v>
      </c>
      <c r="D117" s="12" t="s">
        <v>155</v>
      </c>
      <c r="E117" s="12" t="s">
        <v>197</v>
      </c>
      <c r="F117" s="12" t="s">
        <v>311</v>
      </c>
      <c r="G117" s="12" t="s">
        <v>195</v>
      </c>
      <c r="H117" s="12" t="s">
        <v>310</v>
      </c>
      <c r="I117" s="12" t="s">
        <v>199</v>
      </c>
      <c r="J117" s="12" t="s">
        <v>312</v>
      </c>
      <c r="K117" s="12" t="s">
        <v>193</v>
      </c>
      <c r="L117" s="12" t="s">
        <v>309</v>
      </c>
      <c r="M117" s="13">
        <f t="shared" si="41"/>
        <v>4</v>
      </c>
      <c r="N117" s="13">
        <f t="shared" si="42"/>
        <v>2</v>
      </c>
      <c r="O117" s="13" t="str">
        <f t="shared" si="43"/>
        <v>Partial</v>
      </c>
      <c r="P117" s="14">
        <f t="shared" si="44"/>
        <v>50</v>
      </c>
      <c r="Q117" s="14">
        <f t="shared" si="45"/>
        <v>55</v>
      </c>
      <c r="R117" s="14">
        <f t="shared" si="46"/>
        <v>60</v>
      </c>
      <c r="S117" s="14">
        <f t="shared" si="47"/>
        <v>50</v>
      </c>
      <c r="T117" s="14">
        <f t="shared" si="48"/>
        <v>40</v>
      </c>
      <c r="U117" s="14">
        <f t="shared" si="49"/>
        <v>55</v>
      </c>
      <c r="V117" s="13" t="str">
        <f t="shared" si="50"/>
        <v>Partial</v>
      </c>
      <c r="W117" s="13" t="str">
        <f t="shared" si="51"/>
        <v>MISSION PROTECTED: Response held for more evidence; Try New Mission.</v>
      </c>
      <c r="X117" s="13" t="str">
        <f t="shared" si="52"/>
        <v>MISSION DELAYED; trust 35. The crew postpones external communication while checking the debris alert.</v>
      </c>
      <c r="Y117" s="13" t="str">
        <f t="shared" si="53"/>
        <v>Partial answer | Retrieval 50% | Ranking 55% | Grounding 60% | Citation 50% | Hallucination Risk 40% | Trust 55%</v>
      </c>
      <c r="Z117" s="15"/>
      <c r="AA117" s="16" t="s">
        <v>23</v>
      </c>
      <c r="AB117" s="17"/>
    </row>
    <row r="118" spans="1:28" ht="78" customHeight="1">
      <c r="A118" s="12" t="s">
        <v>328</v>
      </c>
      <c r="B118" s="12" t="s">
        <v>153</v>
      </c>
      <c r="C118" s="12" t="s">
        <v>154</v>
      </c>
      <c r="D118" s="12" t="s">
        <v>155</v>
      </c>
      <c r="E118" s="12" t="s">
        <v>197</v>
      </c>
      <c r="F118" s="12" t="s">
        <v>311</v>
      </c>
      <c r="G118" s="12" t="s">
        <v>199</v>
      </c>
      <c r="H118" s="12" t="s">
        <v>312</v>
      </c>
      <c r="I118" s="12" t="s">
        <v>193</v>
      </c>
      <c r="J118" s="12" t="s">
        <v>309</v>
      </c>
      <c r="K118" s="12" t="s">
        <v>195</v>
      </c>
      <c r="L118" s="12" t="s">
        <v>310</v>
      </c>
      <c r="M118" s="13">
        <f t="shared" si="41"/>
        <v>3</v>
      </c>
      <c r="N118" s="13">
        <f t="shared" si="42"/>
        <v>4</v>
      </c>
      <c r="O118" s="13" t="str">
        <f t="shared" si="43"/>
        <v>Risky</v>
      </c>
      <c r="P118" s="14">
        <f t="shared" si="44"/>
        <v>0</v>
      </c>
      <c r="Q118" s="14">
        <f t="shared" si="45"/>
        <v>40</v>
      </c>
      <c r="R118" s="14">
        <f t="shared" si="46"/>
        <v>10</v>
      </c>
      <c r="S118" s="14">
        <f t="shared" si="47"/>
        <v>0</v>
      </c>
      <c r="T118" s="14">
        <f t="shared" si="48"/>
        <v>90</v>
      </c>
      <c r="U118" s="14">
        <f t="shared" si="49"/>
        <v>12</v>
      </c>
      <c r="V118" s="13" t="str">
        <f t="shared" si="50"/>
        <v>Risky</v>
      </c>
      <c r="W118" s="13" t="str">
        <f t="shared" si="51"/>
        <v>RISK BLOCKED: Unsupported action prevented; Try New Mission.</v>
      </c>
      <c r="X118" s="13" t="str">
        <f t="shared" si="52"/>
        <v>GAME OVER; trust 5. High-velocity debris strikes the extended antenna, destroying the ship's long-range communication system.</v>
      </c>
      <c r="Y118" s="13" t="str">
        <f t="shared" si="53"/>
        <v>Risky answer | Retrieval 0% | Ranking 40% | Grounding 10% | Citation 0% | Hallucination Risk 90% | Trust 12%</v>
      </c>
      <c r="Z118" s="15"/>
      <c r="AA118" s="16" t="s">
        <v>23</v>
      </c>
      <c r="AB118" s="17"/>
    </row>
    <row r="119" spans="1:28" ht="78" customHeight="1">
      <c r="A119" s="12" t="s">
        <v>329</v>
      </c>
      <c r="B119" s="12" t="s">
        <v>153</v>
      </c>
      <c r="C119" s="12" t="s">
        <v>154</v>
      </c>
      <c r="D119" s="12" t="s">
        <v>155</v>
      </c>
      <c r="E119" s="12" t="s">
        <v>197</v>
      </c>
      <c r="F119" s="12" t="s">
        <v>311</v>
      </c>
      <c r="G119" s="12" t="s">
        <v>199</v>
      </c>
      <c r="H119" s="12" t="s">
        <v>312</v>
      </c>
      <c r="I119" s="12" t="s">
        <v>195</v>
      </c>
      <c r="J119" s="12" t="s">
        <v>310</v>
      </c>
      <c r="K119" s="12" t="s">
        <v>193</v>
      </c>
      <c r="L119" s="12" t="s">
        <v>309</v>
      </c>
      <c r="M119" s="13">
        <f t="shared" si="41"/>
        <v>4</v>
      </c>
      <c r="N119" s="13">
        <f t="shared" si="42"/>
        <v>3</v>
      </c>
      <c r="O119" s="13" t="str">
        <f t="shared" si="43"/>
        <v>Risky</v>
      </c>
      <c r="P119" s="14">
        <f t="shared" si="44"/>
        <v>0</v>
      </c>
      <c r="Q119" s="14">
        <f t="shared" si="45"/>
        <v>40</v>
      </c>
      <c r="R119" s="14">
        <f t="shared" si="46"/>
        <v>10</v>
      </c>
      <c r="S119" s="14">
        <f t="shared" si="47"/>
        <v>0</v>
      </c>
      <c r="T119" s="14">
        <f t="shared" si="48"/>
        <v>90</v>
      </c>
      <c r="U119" s="14">
        <f t="shared" si="49"/>
        <v>12</v>
      </c>
      <c r="V119" s="13" t="str">
        <f t="shared" si="50"/>
        <v>Risky</v>
      </c>
      <c r="W119" s="13" t="str">
        <f t="shared" si="51"/>
        <v>RISK BLOCKED: Unsupported action prevented; Try New Mission.</v>
      </c>
      <c r="X119" s="13" t="str">
        <f t="shared" si="52"/>
        <v>GAME OVER; trust 5. High-velocity debris strikes the extended antenna, destroying the ship's long-range communication system.</v>
      </c>
      <c r="Y119" s="13" t="str">
        <f t="shared" si="53"/>
        <v>Risky answer | Retrieval 0% | Ranking 40% | Grounding 10% | Citation 0% | Hallucination Risk 90% | Trust 12%</v>
      </c>
      <c r="Z119" s="15"/>
      <c r="AA119" s="16" t="s">
        <v>23</v>
      </c>
      <c r="AB119" s="17"/>
    </row>
    <row r="120" spans="1:28" ht="78" customHeight="1">
      <c r="A120" s="12" t="s">
        <v>330</v>
      </c>
      <c r="B120" s="12" t="s">
        <v>153</v>
      </c>
      <c r="C120" s="12" t="s">
        <v>154</v>
      </c>
      <c r="D120" s="12" t="s">
        <v>155</v>
      </c>
      <c r="E120" s="12" t="s">
        <v>199</v>
      </c>
      <c r="F120" s="12" t="s">
        <v>312</v>
      </c>
      <c r="G120" s="12" t="s">
        <v>193</v>
      </c>
      <c r="H120" s="12" t="s">
        <v>309</v>
      </c>
      <c r="I120" s="12" t="s">
        <v>195</v>
      </c>
      <c r="J120" s="12" t="s">
        <v>310</v>
      </c>
      <c r="K120" s="12" t="s">
        <v>197</v>
      </c>
      <c r="L120" s="12" t="s">
        <v>311</v>
      </c>
      <c r="M120" s="13">
        <f t="shared" si="41"/>
        <v>2</v>
      </c>
      <c r="N120" s="13">
        <f t="shared" si="42"/>
        <v>3</v>
      </c>
      <c r="O120" s="13" t="str">
        <f t="shared" si="43"/>
        <v>Partial</v>
      </c>
      <c r="P120" s="14">
        <f t="shared" si="44"/>
        <v>50</v>
      </c>
      <c r="Q120" s="14">
        <f t="shared" si="45"/>
        <v>70</v>
      </c>
      <c r="R120" s="14">
        <f t="shared" si="46"/>
        <v>60</v>
      </c>
      <c r="S120" s="14">
        <f t="shared" si="47"/>
        <v>50</v>
      </c>
      <c r="T120" s="14">
        <f t="shared" si="48"/>
        <v>40</v>
      </c>
      <c r="U120" s="14">
        <f t="shared" si="49"/>
        <v>58</v>
      </c>
      <c r="V120" s="13" t="str">
        <f t="shared" si="50"/>
        <v>Partial</v>
      </c>
      <c r="W120" s="13" t="str">
        <f t="shared" si="51"/>
        <v>MISSION PROTECTED: Response held for more evidence; Try New Mission.</v>
      </c>
      <c r="X120" s="13" t="str">
        <f t="shared" si="52"/>
        <v>MISSION DELAYED; trust 35. The crew postpones external communication while checking the debris alert.</v>
      </c>
      <c r="Y120" s="13" t="str">
        <f t="shared" si="53"/>
        <v>Partial answer | Retrieval 50% | Ranking 70% | Grounding 60% | Citation 50% | Hallucination Risk 40% | Trust 58%</v>
      </c>
      <c r="Z120" s="15"/>
      <c r="AA120" s="16" t="s">
        <v>23</v>
      </c>
      <c r="AB120" s="17"/>
    </row>
    <row r="121" spans="1:28" ht="78" customHeight="1">
      <c r="A121" s="12" t="s">
        <v>331</v>
      </c>
      <c r="B121" s="12" t="s">
        <v>153</v>
      </c>
      <c r="C121" s="12" t="s">
        <v>154</v>
      </c>
      <c r="D121" s="12" t="s">
        <v>155</v>
      </c>
      <c r="E121" s="12" t="s">
        <v>199</v>
      </c>
      <c r="F121" s="12" t="s">
        <v>312</v>
      </c>
      <c r="G121" s="12" t="s">
        <v>193</v>
      </c>
      <c r="H121" s="12" t="s">
        <v>309</v>
      </c>
      <c r="I121" s="12" t="s">
        <v>197</v>
      </c>
      <c r="J121" s="12" t="s">
        <v>311</v>
      </c>
      <c r="K121" s="12" t="s">
        <v>195</v>
      </c>
      <c r="L121" s="12" t="s">
        <v>310</v>
      </c>
      <c r="M121" s="13">
        <f t="shared" si="41"/>
        <v>2</v>
      </c>
      <c r="N121" s="13">
        <f t="shared" si="42"/>
        <v>4</v>
      </c>
      <c r="O121" s="13" t="str">
        <f t="shared" si="43"/>
        <v>Partial</v>
      </c>
      <c r="P121" s="14">
        <f t="shared" si="44"/>
        <v>50</v>
      </c>
      <c r="Q121" s="14">
        <f t="shared" si="45"/>
        <v>55</v>
      </c>
      <c r="R121" s="14">
        <f t="shared" si="46"/>
        <v>60</v>
      </c>
      <c r="S121" s="14">
        <f t="shared" si="47"/>
        <v>50</v>
      </c>
      <c r="T121" s="14">
        <f t="shared" si="48"/>
        <v>40</v>
      </c>
      <c r="U121" s="14">
        <f t="shared" si="49"/>
        <v>55</v>
      </c>
      <c r="V121" s="13" t="str">
        <f t="shared" si="50"/>
        <v>Partial</v>
      </c>
      <c r="W121" s="13" t="str">
        <f t="shared" si="51"/>
        <v>MISSION PROTECTED: Response held for more evidence; Try New Mission.</v>
      </c>
      <c r="X121" s="13" t="str">
        <f t="shared" si="52"/>
        <v>MISSION DELAYED; trust 35. The crew postpones external communication while checking the debris alert.</v>
      </c>
      <c r="Y121" s="13" t="str">
        <f t="shared" si="53"/>
        <v>Partial answer | Retrieval 50% | Ranking 55% | Grounding 60% | Citation 50% | Hallucination Risk 40% | Trust 55%</v>
      </c>
      <c r="Z121" s="15"/>
      <c r="AA121" s="16" t="s">
        <v>23</v>
      </c>
      <c r="AB121" s="17"/>
    </row>
    <row r="122" spans="1:28" ht="78" customHeight="1">
      <c r="A122" s="12" t="s">
        <v>332</v>
      </c>
      <c r="B122" s="12" t="s">
        <v>153</v>
      </c>
      <c r="C122" s="12" t="s">
        <v>154</v>
      </c>
      <c r="D122" s="12" t="s">
        <v>155</v>
      </c>
      <c r="E122" s="12" t="s">
        <v>199</v>
      </c>
      <c r="F122" s="12" t="s">
        <v>312</v>
      </c>
      <c r="G122" s="12" t="s">
        <v>195</v>
      </c>
      <c r="H122" s="12" t="s">
        <v>310</v>
      </c>
      <c r="I122" s="12" t="s">
        <v>193</v>
      </c>
      <c r="J122" s="12" t="s">
        <v>309</v>
      </c>
      <c r="K122" s="12" t="s">
        <v>197</v>
      </c>
      <c r="L122" s="12" t="s">
        <v>311</v>
      </c>
      <c r="M122" s="13">
        <f t="shared" si="41"/>
        <v>3</v>
      </c>
      <c r="N122" s="13">
        <f t="shared" si="42"/>
        <v>2</v>
      </c>
      <c r="O122" s="13" t="str">
        <f t="shared" si="43"/>
        <v>Partial</v>
      </c>
      <c r="P122" s="14">
        <f t="shared" si="44"/>
        <v>50</v>
      </c>
      <c r="Q122" s="14">
        <f t="shared" si="45"/>
        <v>70</v>
      </c>
      <c r="R122" s="14">
        <f t="shared" si="46"/>
        <v>60</v>
      </c>
      <c r="S122" s="14">
        <f t="shared" si="47"/>
        <v>50</v>
      </c>
      <c r="T122" s="14">
        <f t="shared" si="48"/>
        <v>40</v>
      </c>
      <c r="U122" s="14">
        <f t="shared" si="49"/>
        <v>58</v>
      </c>
      <c r="V122" s="13" t="str">
        <f t="shared" si="50"/>
        <v>Partial</v>
      </c>
      <c r="W122" s="13" t="str">
        <f t="shared" si="51"/>
        <v>MISSION PROTECTED: Response held for more evidence; Try New Mission.</v>
      </c>
      <c r="X122" s="13" t="str">
        <f t="shared" si="52"/>
        <v>MISSION DELAYED; trust 35. The crew postpones external communication while checking the debris alert.</v>
      </c>
      <c r="Y122" s="13" t="str">
        <f t="shared" si="53"/>
        <v>Partial answer | Retrieval 50% | Ranking 70% | Grounding 60% | Citation 50% | Hallucination Risk 40% | Trust 58%</v>
      </c>
      <c r="Z122" s="15"/>
      <c r="AA122" s="16" t="s">
        <v>23</v>
      </c>
      <c r="AB122" s="17"/>
    </row>
    <row r="123" spans="1:28" ht="78" customHeight="1">
      <c r="A123" s="12" t="s">
        <v>333</v>
      </c>
      <c r="B123" s="12" t="s">
        <v>153</v>
      </c>
      <c r="C123" s="12" t="s">
        <v>154</v>
      </c>
      <c r="D123" s="12" t="s">
        <v>155</v>
      </c>
      <c r="E123" s="12" t="s">
        <v>199</v>
      </c>
      <c r="F123" s="12" t="s">
        <v>312</v>
      </c>
      <c r="G123" s="12" t="s">
        <v>195</v>
      </c>
      <c r="H123" s="12" t="s">
        <v>310</v>
      </c>
      <c r="I123" s="12" t="s">
        <v>197</v>
      </c>
      <c r="J123" s="12" t="s">
        <v>311</v>
      </c>
      <c r="K123" s="12" t="s">
        <v>193</v>
      </c>
      <c r="L123" s="12" t="s">
        <v>309</v>
      </c>
      <c r="M123" s="13">
        <f t="shared" si="41"/>
        <v>4</v>
      </c>
      <c r="N123" s="13">
        <f t="shared" si="42"/>
        <v>2</v>
      </c>
      <c r="O123" s="13" t="str">
        <f t="shared" si="43"/>
        <v>Partial</v>
      </c>
      <c r="P123" s="14">
        <f t="shared" si="44"/>
        <v>50</v>
      </c>
      <c r="Q123" s="14">
        <f t="shared" si="45"/>
        <v>55</v>
      </c>
      <c r="R123" s="14">
        <f t="shared" si="46"/>
        <v>60</v>
      </c>
      <c r="S123" s="14">
        <f t="shared" si="47"/>
        <v>50</v>
      </c>
      <c r="T123" s="14">
        <f t="shared" si="48"/>
        <v>40</v>
      </c>
      <c r="U123" s="14">
        <f t="shared" si="49"/>
        <v>55</v>
      </c>
      <c r="V123" s="13" t="str">
        <f t="shared" si="50"/>
        <v>Partial</v>
      </c>
      <c r="W123" s="13" t="str">
        <f t="shared" si="51"/>
        <v>MISSION PROTECTED: Response held for more evidence; Try New Mission.</v>
      </c>
      <c r="X123" s="13" t="str">
        <f t="shared" si="52"/>
        <v>MISSION DELAYED; trust 35. The crew postpones external communication while checking the debris alert.</v>
      </c>
      <c r="Y123" s="13" t="str">
        <f t="shared" si="53"/>
        <v>Partial answer | Retrieval 50% | Ranking 55% | Grounding 60% | Citation 50% | Hallucination Risk 40% | Trust 55%</v>
      </c>
      <c r="Z123" s="15"/>
      <c r="AA123" s="16" t="s">
        <v>23</v>
      </c>
      <c r="AB123" s="17"/>
    </row>
    <row r="124" spans="1:28" ht="78" customHeight="1">
      <c r="A124" s="12" t="s">
        <v>334</v>
      </c>
      <c r="B124" s="12" t="s">
        <v>153</v>
      </c>
      <c r="C124" s="12" t="s">
        <v>154</v>
      </c>
      <c r="D124" s="12" t="s">
        <v>155</v>
      </c>
      <c r="E124" s="12" t="s">
        <v>199</v>
      </c>
      <c r="F124" s="12" t="s">
        <v>312</v>
      </c>
      <c r="G124" s="12" t="s">
        <v>197</v>
      </c>
      <c r="H124" s="12" t="s">
        <v>311</v>
      </c>
      <c r="I124" s="12" t="s">
        <v>193</v>
      </c>
      <c r="J124" s="12" t="s">
        <v>309</v>
      </c>
      <c r="K124" s="12" t="s">
        <v>195</v>
      </c>
      <c r="L124" s="12" t="s">
        <v>310</v>
      </c>
      <c r="M124" s="13">
        <f t="shared" si="41"/>
        <v>3</v>
      </c>
      <c r="N124" s="13">
        <f t="shared" si="42"/>
        <v>4</v>
      </c>
      <c r="O124" s="13" t="str">
        <f t="shared" si="43"/>
        <v>Risky</v>
      </c>
      <c r="P124" s="14">
        <f t="shared" si="44"/>
        <v>0</v>
      </c>
      <c r="Q124" s="14">
        <f t="shared" si="45"/>
        <v>40</v>
      </c>
      <c r="R124" s="14">
        <f t="shared" si="46"/>
        <v>10</v>
      </c>
      <c r="S124" s="14">
        <f t="shared" si="47"/>
        <v>0</v>
      </c>
      <c r="T124" s="14">
        <f t="shared" si="48"/>
        <v>90</v>
      </c>
      <c r="U124" s="14">
        <f t="shared" si="49"/>
        <v>12</v>
      </c>
      <c r="V124" s="13" t="str">
        <f t="shared" si="50"/>
        <v>Risky</v>
      </c>
      <c r="W124" s="13" t="str">
        <f t="shared" si="51"/>
        <v>RISK BLOCKED: Unsupported action prevented; Try New Mission.</v>
      </c>
      <c r="X124" s="13" t="str">
        <f t="shared" si="52"/>
        <v>GAME OVER; trust 5. High-velocity debris strikes the extended antenna, destroying the ship's long-range communication system.</v>
      </c>
      <c r="Y124" s="13" t="str">
        <f t="shared" si="53"/>
        <v>Risky answer | Retrieval 0% | Ranking 40% | Grounding 10% | Citation 0% | Hallucination Risk 90% | Trust 12%</v>
      </c>
      <c r="Z124" s="15"/>
      <c r="AA124" s="16" t="s">
        <v>23</v>
      </c>
      <c r="AB124" s="17"/>
    </row>
    <row r="125" spans="1:28" ht="78" customHeight="1">
      <c r="A125" s="12" t="s">
        <v>335</v>
      </c>
      <c r="B125" s="12" t="s">
        <v>153</v>
      </c>
      <c r="C125" s="12" t="s">
        <v>154</v>
      </c>
      <c r="D125" s="12" t="s">
        <v>155</v>
      </c>
      <c r="E125" s="12" t="s">
        <v>199</v>
      </c>
      <c r="F125" s="12" t="s">
        <v>312</v>
      </c>
      <c r="G125" s="12" t="s">
        <v>197</v>
      </c>
      <c r="H125" s="12" t="s">
        <v>311</v>
      </c>
      <c r="I125" s="12" t="s">
        <v>195</v>
      </c>
      <c r="J125" s="12" t="s">
        <v>310</v>
      </c>
      <c r="K125" s="12" t="s">
        <v>193</v>
      </c>
      <c r="L125" s="12" t="s">
        <v>309</v>
      </c>
      <c r="M125" s="13">
        <f t="shared" si="41"/>
        <v>4</v>
      </c>
      <c r="N125" s="13">
        <f t="shared" si="42"/>
        <v>3</v>
      </c>
      <c r="O125" s="13" t="str">
        <f t="shared" si="43"/>
        <v>Risky</v>
      </c>
      <c r="P125" s="14">
        <f t="shared" si="44"/>
        <v>0</v>
      </c>
      <c r="Q125" s="14">
        <f t="shared" si="45"/>
        <v>40</v>
      </c>
      <c r="R125" s="14">
        <f t="shared" si="46"/>
        <v>10</v>
      </c>
      <c r="S125" s="14">
        <f t="shared" si="47"/>
        <v>0</v>
      </c>
      <c r="T125" s="14">
        <f t="shared" si="48"/>
        <v>90</v>
      </c>
      <c r="U125" s="14">
        <f t="shared" si="49"/>
        <v>12</v>
      </c>
      <c r="V125" s="13" t="str">
        <f t="shared" si="50"/>
        <v>Risky</v>
      </c>
      <c r="W125" s="13" t="str">
        <f t="shared" si="51"/>
        <v>RISK BLOCKED: Unsupported action prevented; Try New Mission.</v>
      </c>
      <c r="X125" s="13" t="str">
        <f t="shared" si="52"/>
        <v>GAME OVER; trust 5. High-velocity debris strikes the extended antenna, destroying the ship's long-range communication system.</v>
      </c>
      <c r="Y125" s="13" t="str">
        <f t="shared" si="53"/>
        <v>Risky answer | Retrieval 0% | Ranking 40% | Grounding 10% | Citation 0% | Hallucination Risk 90% | Trust 12%</v>
      </c>
      <c r="Z125" s="15"/>
      <c r="AA125" s="16" t="s">
        <v>23</v>
      </c>
      <c r="AB125" s="17"/>
    </row>
  </sheetData>
  <mergeCells count="2">
    <mergeCell ref="A1:AB2"/>
    <mergeCell ref="A3:AB3"/>
  </mergeCells>
  <conditionalFormatting sqref="AA6:AA125">
    <cfRule type="containsText" dxfId="21" priority="1" operator="containsText" text="Pass"/>
    <cfRule type="containsText" dxfId="20" priority="2" operator="containsText" text="Fail"/>
    <cfRule type="containsText" dxfId="19" priority="3" operator="containsText" text="Blocked"/>
    <cfRule type="containsText" dxfId="18" priority="4" operator="containsText" text="Not Run"/>
  </conditionalFormatting>
  <dataValidations count="1">
    <dataValidation type="list" sqref="AA6:AA125" xr:uid="{00000000-0002-0000-0300-000000000000}">
      <formula1>"Not Run,Pass,Fail,Blocked"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65"/>
  <sheetViews>
    <sheetView showGridLines="0" workbookViewId="0">
      <selection activeCell="A3" sqref="A3:N3"/>
    </sheetView>
  </sheetViews>
  <sheetFormatPr baseColWidth="10" defaultColWidth="8.83203125" defaultRowHeight="14"/>
  <cols>
    <col min="1" max="1" width="25" customWidth="1"/>
    <col min="2" max="2" width="18" customWidth="1"/>
    <col min="3" max="3" width="44" customWidth="1"/>
    <col min="4" max="4" width="25" customWidth="1"/>
    <col min="5" max="8" width="11" customWidth="1"/>
    <col min="9" max="10" width="18" customWidth="1"/>
    <col min="11" max="11" width="62" customWidth="1"/>
    <col min="12" max="13" width="52" customWidth="1"/>
    <col min="14" max="14" width="18" customWidth="1"/>
  </cols>
  <sheetData>
    <row r="1" spans="1:14" ht="28" customHeight="1">
      <c r="A1" s="38" t="s">
        <v>17</v>
      </c>
      <c r="B1" s="38"/>
      <c r="C1" s="38"/>
      <c r="D1" s="38"/>
      <c r="E1" s="38"/>
      <c r="F1" s="38"/>
      <c r="G1" s="38"/>
      <c r="H1" s="38"/>
      <c r="I1" s="38"/>
      <c r="J1" s="38"/>
      <c r="K1" s="38"/>
      <c r="L1" s="38"/>
      <c r="M1" s="38"/>
      <c r="N1" s="38"/>
    </row>
    <row r="2" spans="1:14" ht="28" customHeight="1">
      <c r="A2" s="38"/>
      <c r="B2" s="38"/>
      <c r="C2" s="38"/>
      <c r="D2" s="38"/>
      <c r="E2" s="38"/>
      <c r="F2" s="38"/>
      <c r="G2" s="38"/>
      <c r="H2" s="38"/>
      <c r="I2" s="38"/>
      <c r="J2" s="38"/>
      <c r="K2" s="38"/>
      <c r="L2" s="38"/>
      <c r="M2" s="38"/>
      <c r="N2" s="38"/>
    </row>
    <row r="3" spans="1:14" ht="34" customHeight="1">
      <c r="A3" s="64" t="s">
        <v>336</v>
      </c>
      <c r="B3" s="64"/>
      <c r="C3" s="64"/>
      <c r="D3" s="64"/>
      <c r="E3" s="64"/>
      <c r="F3" s="64"/>
      <c r="G3" s="64"/>
      <c r="H3" s="64"/>
      <c r="I3" s="64"/>
      <c r="J3" s="64"/>
      <c r="K3" s="64"/>
      <c r="L3" s="64"/>
      <c r="M3" s="64"/>
      <c r="N3" s="64"/>
    </row>
    <row r="4" spans="1:14">
      <c r="A4" s="4"/>
      <c r="B4" s="4"/>
      <c r="C4" s="4"/>
      <c r="D4" s="4"/>
      <c r="E4" s="4"/>
      <c r="F4" s="4"/>
      <c r="G4" s="4"/>
      <c r="H4" s="4"/>
      <c r="I4" s="4"/>
      <c r="J4" s="4"/>
      <c r="K4" s="4"/>
      <c r="L4" s="4"/>
      <c r="M4" s="4"/>
      <c r="N4" s="4"/>
    </row>
    <row r="5" spans="1:14" ht="42" customHeight="1">
      <c r="A5" s="1" t="s">
        <v>169</v>
      </c>
      <c r="B5" s="2" t="s">
        <v>77</v>
      </c>
      <c r="C5" s="2" t="s">
        <v>79</v>
      </c>
      <c r="D5" s="2" t="s">
        <v>337</v>
      </c>
      <c r="E5" s="2" t="s">
        <v>338</v>
      </c>
      <c r="F5" s="2" t="s">
        <v>339</v>
      </c>
      <c r="G5" s="2" t="s">
        <v>340</v>
      </c>
      <c r="H5" s="2" t="s">
        <v>341</v>
      </c>
      <c r="I5" s="2" t="s">
        <v>342</v>
      </c>
      <c r="J5" s="2" t="s">
        <v>343</v>
      </c>
      <c r="K5" s="2" t="s">
        <v>344</v>
      </c>
      <c r="L5" s="2" t="s">
        <v>14</v>
      </c>
      <c r="M5" s="2" t="s">
        <v>190</v>
      </c>
      <c r="N5" s="3" t="s">
        <v>191</v>
      </c>
    </row>
    <row r="6" spans="1:14" ht="82" customHeight="1">
      <c r="A6" s="6" t="s">
        <v>345</v>
      </c>
      <c r="B6" s="6" t="s">
        <v>93</v>
      </c>
      <c r="C6" s="6" t="s">
        <v>95</v>
      </c>
      <c r="D6" s="6" t="s">
        <v>346</v>
      </c>
      <c r="E6" s="6" t="s">
        <v>193</v>
      </c>
      <c r="F6" s="6" t="s">
        <v>195</v>
      </c>
      <c r="G6" s="6" t="s">
        <v>197</v>
      </c>
      <c r="H6" s="6" t="s">
        <v>199</v>
      </c>
      <c r="I6" s="6" t="s">
        <v>61</v>
      </c>
      <c r="J6" s="6" t="s">
        <v>61</v>
      </c>
      <c r="K6" s="6" t="s">
        <v>347</v>
      </c>
      <c r="L6" s="7" t="s">
        <v>348</v>
      </c>
      <c r="M6" s="9"/>
      <c r="N6" s="10" t="s">
        <v>23</v>
      </c>
    </row>
    <row r="7" spans="1:14" ht="82" customHeight="1">
      <c r="A7" s="12" t="s">
        <v>349</v>
      </c>
      <c r="B7" s="12" t="s">
        <v>93</v>
      </c>
      <c r="C7" s="12" t="s">
        <v>95</v>
      </c>
      <c r="D7" s="12" t="s">
        <v>346</v>
      </c>
      <c r="E7" s="12" t="s">
        <v>193</v>
      </c>
      <c r="F7" s="12" t="s">
        <v>195</v>
      </c>
      <c r="G7" s="12" t="s">
        <v>197</v>
      </c>
      <c r="H7" s="12" t="s">
        <v>199</v>
      </c>
      <c r="I7" s="12" t="s">
        <v>61</v>
      </c>
      <c r="J7" s="12" t="s">
        <v>63</v>
      </c>
      <c r="K7" s="12" t="s">
        <v>350</v>
      </c>
      <c r="L7" s="13" t="s">
        <v>351</v>
      </c>
      <c r="M7" s="15"/>
      <c r="N7" s="16" t="s">
        <v>23</v>
      </c>
    </row>
    <row r="8" spans="1:14" ht="82" customHeight="1">
      <c r="A8" s="12" t="s">
        <v>352</v>
      </c>
      <c r="B8" s="12" t="s">
        <v>93</v>
      </c>
      <c r="C8" s="12" t="s">
        <v>95</v>
      </c>
      <c r="D8" s="12" t="s">
        <v>346</v>
      </c>
      <c r="E8" s="12" t="s">
        <v>193</v>
      </c>
      <c r="F8" s="12" t="s">
        <v>195</v>
      </c>
      <c r="G8" s="12" t="s">
        <v>197</v>
      </c>
      <c r="H8" s="12" t="s">
        <v>199</v>
      </c>
      <c r="I8" s="12" t="s">
        <v>61</v>
      </c>
      <c r="J8" s="12" t="s">
        <v>65</v>
      </c>
      <c r="K8" s="12" t="s">
        <v>350</v>
      </c>
      <c r="L8" s="13" t="s">
        <v>351</v>
      </c>
      <c r="M8" s="15"/>
      <c r="N8" s="16" t="s">
        <v>23</v>
      </c>
    </row>
    <row r="9" spans="1:14" ht="82" customHeight="1">
      <c r="A9" s="12" t="s">
        <v>353</v>
      </c>
      <c r="B9" s="12" t="s">
        <v>93</v>
      </c>
      <c r="C9" s="12" t="s">
        <v>95</v>
      </c>
      <c r="D9" s="12" t="s">
        <v>354</v>
      </c>
      <c r="E9" s="12" t="s">
        <v>193</v>
      </c>
      <c r="F9" s="12" t="s">
        <v>195</v>
      </c>
      <c r="G9" s="12" t="s">
        <v>197</v>
      </c>
      <c r="H9" s="12" t="s">
        <v>199</v>
      </c>
      <c r="I9" s="12" t="s">
        <v>61</v>
      </c>
      <c r="J9" s="12" t="s">
        <v>355</v>
      </c>
      <c r="K9" s="12" t="s">
        <v>356</v>
      </c>
      <c r="L9" s="13" t="s">
        <v>357</v>
      </c>
      <c r="M9" s="15"/>
      <c r="N9" s="16" t="s">
        <v>23</v>
      </c>
    </row>
    <row r="10" spans="1:14" ht="82" customHeight="1">
      <c r="A10" s="12" t="s">
        <v>358</v>
      </c>
      <c r="B10" s="12" t="s">
        <v>93</v>
      </c>
      <c r="C10" s="12" t="s">
        <v>95</v>
      </c>
      <c r="D10" s="12" t="s">
        <v>346</v>
      </c>
      <c r="E10" s="12" t="s">
        <v>193</v>
      </c>
      <c r="F10" s="12" t="s">
        <v>197</v>
      </c>
      <c r="G10" s="12" t="s">
        <v>195</v>
      </c>
      <c r="H10" s="12" t="s">
        <v>199</v>
      </c>
      <c r="I10" s="12" t="s">
        <v>63</v>
      </c>
      <c r="J10" s="12" t="s">
        <v>61</v>
      </c>
      <c r="K10" s="12" t="s">
        <v>359</v>
      </c>
      <c r="L10" s="13" t="s">
        <v>360</v>
      </c>
      <c r="M10" s="15"/>
      <c r="N10" s="16" t="s">
        <v>23</v>
      </c>
    </row>
    <row r="11" spans="1:14" ht="82" customHeight="1">
      <c r="A11" s="12" t="s">
        <v>361</v>
      </c>
      <c r="B11" s="12" t="s">
        <v>93</v>
      </c>
      <c r="C11" s="12" t="s">
        <v>95</v>
      </c>
      <c r="D11" s="12" t="s">
        <v>346</v>
      </c>
      <c r="E11" s="12" t="s">
        <v>193</v>
      </c>
      <c r="F11" s="12" t="s">
        <v>197</v>
      </c>
      <c r="G11" s="12" t="s">
        <v>195</v>
      </c>
      <c r="H11" s="12" t="s">
        <v>199</v>
      </c>
      <c r="I11" s="12" t="s">
        <v>63</v>
      </c>
      <c r="J11" s="12" t="s">
        <v>63</v>
      </c>
      <c r="K11" s="12" t="s">
        <v>362</v>
      </c>
      <c r="L11" s="13" t="s">
        <v>363</v>
      </c>
      <c r="M11" s="15"/>
      <c r="N11" s="16" t="s">
        <v>23</v>
      </c>
    </row>
    <row r="12" spans="1:14" ht="82" customHeight="1">
      <c r="A12" s="12" t="s">
        <v>364</v>
      </c>
      <c r="B12" s="12" t="s">
        <v>93</v>
      </c>
      <c r="C12" s="12" t="s">
        <v>95</v>
      </c>
      <c r="D12" s="12" t="s">
        <v>346</v>
      </c>
      <c r="E12" s="12" t="s">
        <v>193</v>
      </c>
      <c r="F12" s="12" t="s">
        <v>197</v>
      </c>
      <c r="G12" s="12" t="s">
        <v>195</v>
      </c>
      <c r="H12" s="12" t="s">
        <v>199</v>
      </c>
      <c r="I12" s="12" t="s">
        <v>63</v>
      </c>
      <c r="J12" s="12" t="s">
        <v>65</v>
      </c>
      <c r="K12" s="12" t="s">
        <v>359</v>
      </c>
      <c r="L12" s="13" t="s">
        <v>360</v>
      </c>
      <c r="M12" s="15"/>
      <c r="N12" s="16" t="s">
        <v>23</v>
      </c>
    </row>
    <row r="13" spans="1:14" ht="82" customHeight="1">
      <c r="A13" s="12" t="s">
        <v>365</v>
      </c>
      <c r="B13" s="12" t="s">
        <v>93</v>
      </c>
      <c r="C13" s="12" t="s">
        <v>95</v>
      </c>
      <c r="D13" s="12" t="s">
        <v>354</v>
      </c>
      <c r="E13" s="12" t="s">
        <v>193</v>
      </c>
      <c r="F13" s="12" t="s">
        <v>197</v>
      </c>
      <c r="G13" s="12" t="s">
        <v>195</v>
      </c>
      <c r="H13" s="12" t="s">
        <v>199</v>
      </c>
      <c r="I13" s="12" t="s">
        <v>63</v>
      </c>
      <c r="J13" s="12" t="s">
        <v>355</v>
      </c>
      <c r="K13" s="12" t="s">
        <v>366</v>
      </c>
      <c r="L13" s="13" t="s">
        <v>367</v>
      </c>
      <c r="M13" s="15"/>
      <c r="N13" s="16" t="s">
        <v>23</v>
      </c>
    </row>
    <row r="14" spans="1:14" ht="82" customHeight="1">
      <c r="A14" s="12" t="s">
        <v>368</v>
      </c>
      <c r="B14" s="12" t="s">
        <v>93</v>
      </c>
      <c r="C14" s="12" t="s">
        <v>95</v>
      </c>
      <c r="D14" s="12" t="s">
        <v>346</v>
      </c>
      <c r="E14" s="12" t="s">
        <v>197</v>
      </c>
      <c r="F14" s="12" t="s">
        <v>199</v>
      </c>
      <c r="G14" s="12" t="s">
        <v>193</v>
      </c>
      <c r="H14" s="12" t="s">
        <v>195</v>
      </c>
      <c r="I14" s="12" t="s">
        <v>65</v>
      </c>
      <c r="J14" s="12" t="s">
        <v>61</v>
      </c>
      <c r="K14" s="12" t="s">
        <v>369</v>
      </c>
      <c r="L14" s="13" t="s">
        <v>370</v>
      </c>
      <c r="M14" s="15"/>
      <c r="N14" s="16" t="s">
        <v>23</v>
      </c>
    </row>
    <row r="15" spans="1:14" ht="82" customHeight="1">
      <c r="A15" s="12" t="s">
        <v>371</v>
      </c>
      <c r="B15" s="12" t="s">
        <v>93</v>
      </c>
      <c r="C15" s="12" t="s">
        <v>95</v>
      </c>
      <c r="D15" s="12" t="s">
        <v>346</v>
      </c>
      <c r="E15" s="12" t="s">
        <v>197</v>
      </c>
      <c r="F15" s="12" t="s">
        <v>199</v>
      </c>
      <c r="G15" s="12" t="s">
        <v>193</v>
      </c>
      <c r="H15" s="12" t="s">
        <v>195</v>
      </c>
      <c r="I15" s="12" t="s">
        <v>65</v>
      </c>
      <c r="J15" s="12" t="s">
        <v>63</v>
      </c>
      <c r="K15" s="12" t="s">
        <v>369</v>
      </c>
      <c r="L15" s="13" t="s">
        <v>370</v>
      </c>
      <c r="M15" s="15"/>
      <c r="N15" s="16" t="s">
        <v>23</v>
      </c>
    </row>
    <row r="16" spans="1:14" ht="82" customHeight="1">
      <c r="A16" s="12" t="s">
        <v>372</v>
      </c>
      <c r="B16" s="12" t="s">
        <v>93</v>
      </c>
      <c r="C16" s="12" t="s">
        <v>95</v>
      </c>
      <c r="D16" s="12" t="s">
        <v>346</v>
      </c>
      <c r="E16" s="12" t="s">
        <v>197</v>
      </c>
      <c r="F16" s="12" t="s">
        <v>199</v>
      </c>
      <c r="G16" s="12" t="s">
        <v>193</v>
      </c>
      <c r="H16" s="12" t="s">
        <v>195</v>
      </c>
      <c r="I16" s="12" t="s">
        <v>65</v>
      </c>
      <c r="J16" s="12" t="s">
        <v>65</v>
      </c>
      <c r="K16" s="12" t="s">
        <v>373</v>
      </c>
      <c r="L16" s="13" t="s">
        <v>374</v>
      </c>
      <c r="M16" s="15"/>
      <c r="N16" s="16" t="s">
        <v>23</v>
      </c>
    </row>
    <row r="17" spans="1:14" ht="82" customHeight="1">
      <c r="A17" s="12" t="s">
        <v>375</v>
      </c>
      <c r="B17" s="12" t="s">
        <v>93</v>
      </c>
      <c r="C17" s="12" t="s">
        <v>95</v>
      </c>
      <c r="D17" s="12" t="s">
        <v>354</v>
      </c>
      <c r="E17" s="12" t="s">
        <v>197</v>
      </c>
      <c r="F17" s="12" t="s">
        <v>199</v>
      </c>
      <c r="G17" s="12" t="s">
        <v>193</v>
      </c>
      <c r="H17" s="12" t="s">
        <v>195</v>
      </c>
      <c r="I17" s="12" t="s">
        <v>65</v>
      </c>
      <c r="J17" s="12" t="s">
        <v>355</v>
      </c>
      <c r="K17" s="12" t="s">
        <v>376</v>
      </c>
      <c r="L17" s="13" t="s">
        <v>377</v>
      </c>
      <c r="M17" s="15"/>
      <c r="N17" s="16" t="s">
        <v>23</v>
      </c>
    </row>
    <row r="18" spans="1:14" ht="82" customHeight="1">
      <c r="A18" s="12" t="s">
        <v>378</v>
      </c>
      <c r="B18" s="12" t="s">
        <v>108</v>
      </c>
      <c r="C18" s="12" t="s">
        <v>110</v>
      </c>
      <c r="D18" s="12" t="s">
        <v>346</v>
      </c>
      <c r="E18" s="12" t="s">
        <v>193</v>
      </c>
      <c r="F18" s="12" t="s">
        <v>195</v>
      </c>
      <c r="G18" s="12" t="s">
        <v>197</v>
      </c>
      <c r="H18" s="12" t="s">
        <v>199</v>
      </c>
      <c r="I18" s="12" t="s">
        <v>61</v>
      </c>
      <c r="J18" s="12" t="s">
        <v>61</v>
      </c>
      <c r="K18" s="12" t="s">
        <v>379</v>
      </c>
      <c r="L18" s="13" t="s">
        <v>348</v>
      </c>
      <c r="M18" s="15"/>
      <c r="N18" s="16" t="s">
        <v>23</v>
      </c>
    </row>
    <row r="19" spans="1:14" ht="82" customHeight="1">
      <c r="A19" s="12" t="s">
        <v>380</v>
      </c>
      <c r="B19" s="12" t="s">
        <v>108</v>
      </c>
      <c r="C19" s="12" t="s">
        <v>110</v>
      </c>
      <c r="D19" s="12" t="s">
        <v>346</v>
      </c>
      <c r="E19" s="12" t="s">
        <v>193</v>
      </c>
      <c r="F19" s="12" t="s">
        <v>195</v>
      </c>
      <c r="G19" s="12" t="s">
        <v>197</v>
      </c>
      <c r="H19" s="12" t="s">
        <v>199</v>
      </c>
      <c r="I19" s="12" t="s">
        <v>61</v>
      </c>
      <c r="J19" s="12" t="s">
        <v>63</v>
      </c>
      <c r="K19" s="12" t="s">
        <v>381</v>
      </c>
      <c r="L19" s="13" t="s">
        <v>351</v>
      </c>
      <c r="M19" s="15"/>
      <c r="N19" s="16" t="s">
        <v>23</v>
      </c>
    </row>
    <row r="20" spans="1:14" ht="82" customHeight="1">
      <c r="A20" s="12" t="s">
        <v>382</v>
      </c>
      <c r="B20" s="12" t="s">
        <v>108</v>
      </c>
      <c r="C20" s="12" t="s">
        <v>110</v>
      </c>
      <c r="D20" s="12" t="s">
        <v>346</v>
      </c>
      <c r="E20" s="12" t="s">
        <v>193</v>
      </c>
      <c r="F20" s="12" t="s">
        <v>195</v>
      </c>
      <c r="G20" s="12" t="s">
        <v>197</v>
      </c>
      <c r="H20" s="12" t="s">
        <v>199</v>
      </c>
      <c r="I20" s="12" t="s">
        <v>61</v>
      </c>
      <c r="J20" s="12" t="s">
        <v>65</v>
      </c>
      <c r="K20" s="12" t="s">
        <v>381</v>
      </c>
      <c r="L20" s="13" t="s">
        <v>351</v>
      </c>
      <c r="M20" s="15"/>
      <c r="N20" s="16" t="s">
        <v>23</v>
      </c>
    </row>
    <row r="21" spans="1:14" ht="82" customHeight="1">
      <c r="A21" s="12" t="s">
        <v>383</v>
      </c>
      <c r="B21" s="12" t="s">
        <v>108</v>
      </c>
      <c r="C21" s="12" t="s">
        <v>110</v>
      </c>
      <c r="D21" s="12" t="s">
        <v>354</v>
      </c>
      <c r="E21" s="12" t="s">
        <v>193</v>
      </c>
      <c r="F21" s="12" t="s">
        <v>195</v>
      </c>
      <c r="G21" s="12" t="s">
        <v>197</v>
      </c>
      <c r="H21" s="12" t="s">
        <v>199</v>
      </c>
      <c r="I21" s="12" t="s">
        <v>61</v>
      </c>
      <c r="J21" s="12" t="s">
        <v>355</v>
      </c>
      <c r="K21" s="12" t="s">
        <v>384</v>
      </c>
      <c r="L21" s="13" t="s">
        <v>357</v>
      </c>
      <c r="M21" s="15"/>
      <c r="N21" s="16" t="s">
        <v>23</v>
      </c>
    </row>
    <row r="22" spans="1:14" ht="82" customHeight="1">
      <c r="A22" s="12" t="s">
        <v>385</v>
      </c>
      <c r="B22" s="12" t="s">
        <v>108</v>
      </c>
      <c r="C22" s="12" t="s">
        <v>110</v>
      </c>
      <c r="D22" s="12" t="s">
        <v>346</v>
      </c>
      <c r="E22" s="12" t="s">
        <v>193</v>
      </c>
      <c r="F22" s="12" t="s">
        <v>197</v>
      </c>
      <c r="G22" s="12" t="s">
        <v>195</v>
      </c>
      <c r="H22" s="12" t="s">
        <v>199</v>
      </c>
      <c r="I22" s="12" t="s">
        <v>63</v>
      </c>
      <c r="J22" s="12" t="s">
        <v>61</v>
      </c>
      <c r="K22" s="12" t="s">
        <v>359</v>
      </c>
      <c r="L22" s="13" t="s">
        <v>360</v>
      </c>
      <c r="M22" s="15"/>
      <c r="N22" s="16" t="s">
        <v>23</v>
      </c>
    </row>
    <row r="23" spans="1:14" ht="82" customHeight="1">
      <c r="A23" s="12" t="s">
        <v>386</v>
      </c>
      <c r="B23" s="12" t="s">
        <v>108</v>
      </c>
      <c r="C23" s="12" t="s">
        <v>110</v>
      </c>
      <c r="D23" s="12" t="s">
        <v>346</v>
      </c>
      <c r="E23" s="12" t="s">
        <v>193</v>
      </c>
      <c r="F23" s="12" t="s">
        <v>197</v>
      </c>
      <c r="G23" s="12" t="s">
        <v>195</v>
      </c>
      <c r="H23" s="12" t="s">
        <v>199</v>
      </c>
      <c r="I23" s="12" t="s">
        <v>63</v>
      </c>
      <c r="J23" s="12" t="s">
        <v>63</v>
      </c>
      <c r="K23" s="12" t="s">
        <v>362</v>
      </c>
      <c r="L23" s="13" t="s">
        <v>363</v>
      </c>
      <c r="M23" s="15"/>
      <c r="N23" s="16" t="s">
        <v>23</v>
      </c>
    </row>
    <row r="24" spans="1:14" ht="82" customHeight="1">
      <c r="A24" s="12" t="s">
        <v>387</v>
      </c>
      <c r="B24" s="12" t="s">
        <v>108</v>
      </c>
      <c r="C24" s="12" t="s">
        <v>110</v>
      </c>
      <c r="D24" s="12" t="s">
        <v>346</v>
      </c>
      <c r="E24" s="12" t="s">
        <v>193</v>
      </c>
      <c r="F24" s="12" t="s">
        <v>197</v>
      </c>
      <c r="G24" s="12" t="s">
        <v>195</v>
      </c>
      <c r="H24" s="12" t="s">
        <v>199</v>
      </c>
      <c r="I24" s="12" t="s">
        <v>63</v>
      </c>
      <c r="J24" s="12" t="s">
        <v>65</v>
      </c>
      <c r="K24" s="12" t="s">
        <v>359</v>
      </c>
      <c r="L24" s="13" t="s">
        <v>360</v>
      </c>
      <c r="M24" s="15"/>
      <c r="N24" s="16" t="s">
        <v>23</v>
      </c>
    </row>
    <row r="25" spans="1:14" ht="82" customHeight="1">
      <c r="A25" s="12" t="s">
        <v>388</v>
      </c>
      <c r="B25" s="12" t="s">
        <v>108</v>
      </c>
      <c r="C25" s="12" t="s">
        <v>110</v>
      </c>
      <c r="D25" s="12" t="s">
        <v>354</v>
      </c>
      <c r="E25" s="12" t="s">
        <v>193</v>
      </c>
      <c r="F25" s="12" t="s">
        <v>197</v>
      </c>
      <c r="G25" s="12" t="s">
        <v>195</v>
      </c>
      <c r="H25" s="12" t="s">
        <v>199</v>
      </c>
      <c r="I25" s="12" t="s">
        <v>63</v>
      </c>
      <c r="J25" s="12" t="s">
        <v>355</v>
      </c>
      <c r="K25" s="12" t="s">
        <v>389</v>
      </c>
      <c r="L25" s="13" t="s">
        <v>367</v>
      </c>
      <c r="M25" s="15"/>
      <c r="N25" s="16" t="s">
        <v>23</v>
      </c>
    </row>
    <row r="26" spans="1:14" ht="82" customHeight="1">
      <c r="A26" s="12" t="s">
        <v>390</v>
      </c>
      <c r="B26" s="12" t="s">
        <v>108</v>
      </c>
      <c r="C26" s="12" t="s">
        <v>110</v>
      </c>
      <c r="D26" s="12" t="s">
        <v>346</v>
      </c>
      <c r="E26" s="12" t="s">
        <v>197</v>
      </c>
      <c r="F26" s="12" t="s">
        <v>199</v>
      </c>
      <c r="G26" s="12" t="s">
        <v>193</v>
      </c>
      <c r="H26" s="12" t="s">
        <v>195</v>
      </c>
      <c r="I26" s="12" t="s">
        <v>65</v>
      </c>
      <c r="J26" s="12" t="s">
        <v>61</v>
      </c>
      <c r="K26" s="12" t="s">
        <v>369</v>
      </c>
      <c r="L26" s="13" t="s">
        <v>370</v>
      </c>
      <c r="M26" s="15"/>
      <c r="N26" s="16" t="s">
        <v>23</v>
      </c>
    </row>
    <row r="27" spans="1:14" ht="82" customHeight="1">
      <c r="A27" s="12" t="s">
        <v>391</v>
      </c>
      <c r="B27" s="12" t="s">
        <v>108</v>
      </c>
      <c r="C27" s="12" t="s">
        <v>110</v>
      </c>
      <c r="D27" s="12" t="s">
        <v>346</v>
      </c>
      <c r="E27" s="12" t="s">
        <v>197</v>
      </c>
      <c r="F27" s="12" t="s">
        <v>199</v>
      </c>
      <c r="G27" s="12" t="s">
        <v>193</v>
      </c>
      <c r="H27" s="12" t="s">
        <v>195</v>
      </c>
      <c r="I27" s="12" t="s">
        <v>65</v>
      </c>
      <c r="J27" s="12" t="s">
        <v>63</v>
      </c>
      <c r="K27" s="12" t="s">
        <v>369</v>
      </c>
      <c r="L27" s="13" t="s">
        <v>370</v>
      </c>
      <c r="M27" s="15"/>
      <c r="N27" s="16" t="s">
        <v>23</v>
      </c>
    </row>
    <row r="28" spans="1:14" ht="82" customHeight="1">
      <c r="A28" s="12" t="s">
        <v>392</v>
      </c>
      <c r="B28" s="12" t="s">
        <v>108</v>
      </c>
      <c r="C28" s="12" t="s">
        <v>110</v>
      </c>
      <c r="D28" s="12" t="s">
        <v>346</v>
      </c>
      <c r="E28" s="12" t="s">
        <v>197</v>
      </c>
      <c r="F28" s="12" t="s">
        <v>199</v>
      </c>
      <c r="G28" s="12" t="s">
        <v>193</v>
      </c>
      <c r="H28" s="12" t="s">
        <v>195</v>
      </c>
      <c r="I28" s="12" t="s">
        <v>65</v>
      </c>
      <c r="J28" s="12" t="s">
        <v>65</v>
      </c>
      <c r="K28" s="12" t="s">
        <v>373</v>
      </c>
      <c r="L28" s="13" t="s">
        <v>374</v>
      </c>
      <c r="M28" s="15"/>
      <c r="N28" s="16" t="s">
        <v>23</v>
      </c>
    </row>
    <row r="29" spans="1:14" ht="82" customHeight="1">
      <c r="A29" s="12" t="s">
        <v>393</v>
      </c>
      <c r="B29" s="12" t="s">
        <v>108</v>
      </c>
      <c r="C29" s="12" t="s">
        <v>110</v>
      </c>
      <c r="D29" s="12" t="s">
        <v>354</v>
      </c>
      <c r="E29" s="12" t="s">
        <v>197</v>
      </c>
      <c r="F29" s="12" t="s">
        <v>199</v>
      </c>
      <c r="G29" s="12" t="s">
        <v>193</v>
      </c>
      <c r="H29" s="12" t="s">
        <v>195</v>
      </c>
      <c r="I29" s="12" t="s">
        <v>65</v>
      </c>
      <c r="J29" s="12" t="s">
        <v>355</v>
      </c>
      <c r="K29" s="12" t="s">
        <v>394</v>
      </c>
      <c r="L29" s="13" t="s">
        <v>377</v>
      </c>
      <c r="M29" s="15"/>
      <c r="N29" s="16" t="s">
        <v>23</v>
      </c>
    </row>
    <row r="30" spans="1:14" ht="82" customHeight="1">
      <c r="A30" s="12" t="s">
        <v>395</v>
      </c>
      <c r="B30" s="12" t="s">
        <v>123</v>
      </c>
      <c r="C30" s="12" t="s">
        <v>125</v>
      </c>
      <c r="D30" s="12" t="s">
        <v>346</v>
      </c>
      <c r="E30" s="12" t="s">
        <v>193</v>
      </c>
      <c r="F30" s="12" t="s">
        <v>195</v>
      </c>
      <c r="G30" s="12" t="s">
        <v>197</v>
      </c>
      <c r="H30" s="12" t="s">
        <v>199</v>
      </c>
      <c r="I30" s="12" t="s">
        <v>61</v>
      </c>
      <c r="J30" s="12" t="s">
        <v>61</v>
      </c>
      <c r="K30" s="12" t="s">
        <v>396</v>
      </c>
      <c r="L30" s="13" t="s">
        <v>348</v>
      </c>
      <c r="M30" s="15"/>
      <c r="N30" s="16" t="s">
        <v>23</v>
      </c>
    </row>
    <row r="31" spans="1:14" ht="82" customHeight="1">
      <c r="A31" s="12" t="s">
        <v>397</v>
      </c>
      <c r="B31" s="12" t="s">
        <v>123</v>
      </c>
      <c r="C31" s="12" t="s">
        <v>125</v>
      </c>
      <c r="D31" s="12" t="s">
        <v>346</v>
      </c>
      <c r="E31" s="12" t="s">
        <v>193</v>
      </c>
      <c r="F31" s="12" t="s">
        <v>195</v>
      </c>
      <c r="G31" s="12" t="s">
        <v>197</v>
      </c>
      <c r="H31" s="12" t="s">
        <v>199</v>
      </c>
      <c r="I31" s="12" t="s">
        <v>61</v>
      </c>
      <c r="J31" s="12" t="s">
        <v>63</v>
      </c>
      <c r="K31" s="12" t="s">
        <v>398</v>
      </c>
      <c r="L31" s="13" t="s">
        <v>351</v>
      </c>
      <c r="M31" s="15"/>
      <c r="N31" s="16" t="s">
        <v>23</v>
      </c>
    </row>
    <row r="32" spans="1:14" ht="82" customHeight="1">
      <c r="A32" s="12" t="s">
        <v>399</v>
      </c>
      <c r="B32" s="12" t="s">
        <v>123</v>
      </c>
      <c r="C32" s="12" t="s">
        <v>125</v>
      </c>
      <c r="D32" s="12" t="s">
        <v>346</v>
      </c>
      <c r="E32" s="12" t="s">
        <v>193</v>
      </c>
      <c r="F32" s="12" t="s">
        <v>195</v>
      </c>
      <c r="G32" s="12" t="s">
        <v>197</v>
      </c>
      <c r="H32" s="12" t="s">
        <v>199</v>
      </c>
      <c r="I32" s="12" t="s">
        <v>61</v>
      </c>
      <c r="J32" s="12" t="s">
        <v>65</v>
      </c>
      <c r="K32" s="12" t="s">
        <v>398</v>
      </c>
      <c r="L32" s="13" t="s">
        <v>351</v>
      </c>
      <c r="M32" s="15"/>
      <c r="N32" s="16" t="s">
        <v>23</v>
      </c>
    </row>
    <row r="33" spans="1:14" ht="82" customHeight="1">
      <c r="A33" s="12" t="s">
        <v>400</v>
      </c>
      <c r="B33" s="12" t="s">
        <v>123</v>
      </c>
      <c r="C33" s="12" t="s">
        <v>125</v>
      </c>
      <c r="D33" s="12" t="s">
        <v>354</v>
      </c>
      <c r="E33" s="12" t="s">
        <v>193</v>
      </c>
      <c r="F33" s="12" t="s">
        <v>195</v>
      </c>
      <c r="G33" s="12" t="s">
        <v>197</v>
      </c>
      <c r="H33" s="12" t="s">
        <v>199</v>
      </c>
      <c r="I33" s="12" t="s">
        <v>61</v>
      </c>
      <c r="J33" s="12" t="s">
        <v>355</v>
      </c>
      <c r="K33" s="12" t="s">
        <v>401</v>
      </c>
      <c r="L33" s="13" t="s">
        <v>357</v>
      </c>
      <c r="M33" s="15"/>
      <c r="N33" s="16" t="s">
        <v>23</v>
      </c>
    </row>
    <row r="34" spans="1:14" ht="82" customHeight="1">
      <c r="A34" s="12" t="s">
        <v>402</v>
      </c>
      <c r="B34" s="12" t="s">
        <v>123</v>
      </c>
      <c r="C34" s="12" t="s">
        <v>125</v>
      </c>
      <c r="D34" s="12" t="s">
        <v>346</v>
      </c>
      <c r="E34" s="12" t="s">
        <v>193</v>
      </c>
      <c r="F34" s="12" t="s">
        <v>197</v>
      </c>
      <c r="G34" s="12" t="s">
        <v>195</v>
      </c>
      <c r="H34" s="12" t="s">
        <v>199</v>
      </c>
      <c r="I34" s="12" t="s">
        <v>63</v>
      </c>
      <c r="J34" s="12" t="s">
        <v>61</v>
      </c>
      <c r="K34" s="12" t="s">
        <v>359</v>
      </c>
      <c r="L34" s="13" t="s">
        <v>360</v>
      </c>
      <c r="M34" s="15"/>
      <c r="N34" s="16" t="s">
        <v>23</v>
      </c>
    </row>
    <row r="35" spans="1:14" ht="82" customHeight="1">
      <c r="A35" s="12" t="s">
        <v>403</v>
      </c>
      <c r="B35" s="12" t="s">
        <v>123</v>
      </c>
      <c r="C35" s="12" t="s">
        <v>125</v>
      </c>
      <c r="D35" s="12" t="s">
        <v>346</v>
      </c>
      <c r="E35" s="12" t="s">
        <v>193</v>
      </c>
      <c r="F35" s="12" t="s">
        <v>197</v>
      </c>
      <c r="G35" s="12" t="s">
        <v>195</v>
      </c>
      <c r="H35" s="12" t="s">
        <v>199</v>
      </c>
      <c r="I35" s="12" t="s">
        <v>63</v>
      </c>
      <c r="J35" s="12" t="s">
        <v>63</v>
      </c>
      <c r="K35" s="12" t="s">
        <v>362</v>
      </c>
      <c r="L35" s="13" t="s">
        <v>363</v>
      </c>
      <c r="M35" s="15"/>
      <c r="N35" s="16" t="s">
        <v>23</v>
      </c>
    </row>
    <row r="36" spans="1:14" ht="82" customHeight="1">
      <c r="A36" s="12" t="s">
        <v>404</v>
      </c>
      <c r="B36" s="12" t="s">
        <v>123</v>
      </c>
      <c r="C36" s="12" t="s">
        <v>125</v>
      </c>
      <c r="D36" s="12" t="s">
        <v>346</v>
      </c>
      <c r="E36" s="12" t="s">
        <v>193</v>
      </c>
      <c r="F36" s="12" t="s">
        <v>197</v>
      </c>
      <c r="G36" s="12" t="s">
        <v>195</v>
      </c>
      <c r="H36" s="12" t="s">
        <v>199</v>
      </c>
      <c r="I36" s="12" t="s">
        <v>63</v>
      </c>
      <c r="J36" s="12" t="s">
        <v>65</v>
      </c>
      <c r="K36" s="12" t="s">
        <v>359</v>
      </c>
      <c r="L36" s="13" t="s">
        <v>360</v>
      </c>
      <c r="M36" s="15"/>
      <c r="N36" s="16" t="s">
        <v>23</v>
      </c>
    </row>
    <row r="37" spans="1:14" ht="82" customHeight="1">
      <c r="A37" s="12" t="s">
        <v>405</v>
      </c>
      <c r="B37" s="12" t="s">
        <v>123</v>
      </c>
      <c r="C37" s="12" t="s">
        <v>125</v>
      </c>
      <c r="D37" s="12" t="s">
        <v>354</v>
      </c>
      <c r="E37" s="12" t="s">
        <v>193</v>
      </c>
      <c r="F37" s="12" t="s">
        <v>197</v>
      </c>
      <c r="G37" s="12" t="s">
        <v>195</v>
      </c>
      <c r="H37" s="12" t="s">
        <v>199</v>
      </c>
      <c r="I37" s="12" t="s">
        <v>63</v>
      </c>
      <c r="J37" s="12" t="s">
        <v>355</v>
      </c>
      <c r="K37" s="12" t="s">
        <v>406</v>
      </c>
      <c r="L37" s="13" t="s">
        <v>367</v>
      </c>
      <c r="M37" s="15"/>
      <c r="N37" s="16" t="s">
        <v>23</v>
      </c>
    </row>
    <row r="38" spans="1:14" ht="82" customHeight="1">
      <c r="A38" s="12" t="s">
        <v>407</v>
      </c>
      <c r="B38" s="12" t="s">
        <v>123</v>
      </c>
      <c r="C38" s="12" t="s">
        <v>125</v>
      </c>
      <c r="D38" s="12" t="s">
        <v>346</v>
      </c>
      <c r="E38" s="12" t="s">
        <v>197</v>
      </c>
      <c r="F38" s="12" t="s">
        <v>199</v>
      </c>
      <c r="G38" s="12" t="s">
        <v>193</v>
      </c>
      <c r="H38" s="12" t="s">
        <v>195</v>
      </c>
      <c r="I38" s="12" t="s">
        <v>65</v>
      </c>
      <c r="J38" s="12" t="s">
        <v>61</v>
      </c>
      <c r="K38" s="12" t="s">
        <v>369</v>
      </c>
      <c r="L38" s="13" t="s">
        <v>370</v>
      </c>
      <c r="M38" s="15"/>
      <c r="N38" s="16" t="s">
        <v>23</v>
      </c>
    </row>
    <row r="39" spans="1:14" ht="82" customHeight="1">
      <c r="A39" s="12" t="s">
        <v>408</v>
      </c>
      <c r="B39" s="12" t="s">
        <v>123</v>
      </c>
      <c r="C39" s="12" t="s">
        <v>125</v>
      </c>
      <c r="D39" s="12" t="s">
        <v>346</v>
      </c>
      <c r="E39" s="12" t="s">
        <v>197</v>
      </c>
      <c r="F39" s="12" t="s">
        <v>199</v>
      </c>
      <c r="G39" s="12" t="s">
        <v>193</v>
      </c>
      <c r="H39" s="12" t="s">
        <v>195</v>
      </c>
      <c r="I39" s="12" t="s">
        <v>65</v>
      </c>
      <c r="J39" s="12" t="s">
        <v>63</v>
      </c>
      <c r="K39" s="12" t="s">
        <v>369</v>
      </c>
      <c r="L39" s="13" t="s">
        <v>370</v>
      </c>
      <c r="M39" s="15"/>
      <c r="N39" s="16" t="s">
        <v>23</v>
      </c>
    </row>
    <row r="40" spans="1:14" ht="82" customHeight="1">
      <c r="A40" s="12" t="s">
        <v>409</v>
      </c>
      <c r="B40" s="12" t="s">
        <v>123</v>
      </c>
      <c r="C40" s="12" t="s">
        <v>125</v>
      </c>
      <c r="D40" s="12" t="s">
        <v>346</v>
      </c>
      <c r="E40" s="12" t="s">
        <v>197</v>
      </c>
      <c r="F40" s="12" t="s">
        <v>199</v>
      </c>
      <c r="G40" s="12" t="s">
        <v>193</v>
      </c>
      <c r="H40" s="12" t="s">
        <v>195</v>
      </c>
      <c r="I40" s="12" t="s">
        <v>65</v>
      </c>
      <c r="J40" s="12" t="s">
        <v>65</v>
      </c>
      <c r="K40" s="12" t="s">
        <v>373</v>
      </c>
      <c r="L40" s="13" t="s">
        <v>374</v>
      </c>
      <c r="M40" s="15"/>
      <c r="N40" s="16" t="s">
        <v>23</v>
      </c>
    </row>
    <row r="41" spans="1:14" ht="82" customHeight="1">
      <c r="A41" s="12" t="s">
        <v>410</v>
      </c>
      <c r="B41" s="12" t="s">
        <v>123</v>
      </c>
      <c r="C41" s="12" t="s">
        <v>125</v>
      </c>
      <c r="D41" s="12" t="s">
        <v>354</v>
      </c>
      <c r="E41" s="12" t="s">
        <v>197</v>
      </c>
      <c r="F41" s="12" t="s">
        <v>199</v>
      </c>
      <c r="G41" s="12" t="s">
        <v>193</v>
      </c>
      <c r="H41" s="12" t="s">
        <v>195</v>
      </c>
      <c r="I41" s="12" t="s">
        <v>65</v>
      </c>
      <c r="J41" s="12" t="s">
        <v>355</v>
      </c>
      <c r="K41" s="12" t="s">
        <v>411</v>
      </c>
      <c r="L41" s="13" t="s">
        <v>377</v>
      </c>
      <c r="M41" s="15"/>
      <c r="N41" s="16" t="s">
        <v>23</v>
      </c>
    </row>
    <row r="42" spans="1:14" ht="82" customHeight="1">
      <c r="A42" s="12" t="s">
        <v>412</v>
      </c>
      <c r="B42" s="12" t="s">
        <v>138</v>
      </c>
      <c r="C42" s="12" t="s">
        <v>140</v>
      </c>
      <c r="D42" s="12" t="s">
        <v>346</v>
      </c>
      <c r="E42" s="12" t="s">
        <v>193</v>
      </c>
      <c r="F42" s="12" t="s">
        <v>195</v>
      </c>
      <c r="G42" s="12" t="s">
        <v>197</v>
      </c>
      <c r="H42" s="12" t="s">
        <v>199</v>
      </c>
      <c r="I42" s="12" t="s">
        <v>61</v>
      </c>
      <c r="J42" s="12" t="s">
        <v>61</v>
      </c>
      <c r="K42" s="12" t="s">
        <v>413</v>
      </c>
      <c r="L42" s="13" t="s">
        <v>348</v>
      </c>
      <c r="M42" s="15"/>
      <c r="N42" s="16" t="s">
        <v>23</v>
      </c>
    </row>
    <row r="43" spans="1:14" ht="82" customHeight="1">
      <c r="A43" s="12" t="s">
        <v>414</v>
      </c>
      <c r="B43" s="12" t="s">
        <v>138</v>
      </c>
      <c r="C43" s="12" t="s">
        <v>140</v>
      </c>
      <c r="D43" s="12" t="s">
        <v>346</v>
      </c>
      <c r="E43" s="12" t="s">
        <v>193</v>
      </c>
      <c r="F43" s="12" t="s">
        <v>195</v>
      </c>
      <c r="G43" s="12" t="s">
        <v>197</v>
      </c>
      <c r="H43" s="12" t="s">
        <v>199</v>
      </c>
      <c r="I43" s="12" t="s">
        <v>61</v>
      </c>
      <c r="J43" s="12" t="s">
        <v>63</v>
      </c>
      <c r="K43" s="12" t="s">
        <v>415</v>
      </c>
      <c r="L43" s="13" t="s">
        <v>351</v>
      </c>
      <c r="M43" s="15"/>
      <c r="N43" s="16" t="s">
        <v>23</v>
      </c>
    </row>
    <row r="44" spans="1:14" ht="82" customHeight="1">
      <c r="A44" s="12" t="s">
        <v>416</v>
      </c>
      <c r="B44" s="12" t="s">
        <v>138</v>
      </c>
      <c r="C44" s="12" t="s">
        <v>140</v>
      </c>
      <c r="D44" s="12" t="s">
        <v>346</v>
      </c>
      <c r="E44" s="12" t="s">
        <v>193</v>
      </c>
      <c r="F44" s="12" t="s">
        <v>195</v>
      </c>
      <c r="G44" s="12" t="s">
        <v>197</v>
      </c>
      <c r="H44" s="12" t="s">
        <v>199</v>
      </c>
      <c r="I44" s="12" t="s">
        <v>61</v>
      </c>
      <c r="J44" s="12" t="s">
        <v>65</v>
      </c>
      <c r="K44" s="12" t="s">
        <v>415</v>
      </c>
      <c r="L44" s="13" t="s">
        <v>351</v>
      </c>
      <c r="M44" s="15"/>
      <c r="N44" s="16" t="s">
        <v>23</v>
      </c>
    </row>
    <row r="45" spans="1:14" ht="82" customHeight="1">
      <c r="A45" s="12" t="s">
        <v>417</v>
      </c>
      <c r="B45" s="12" t="s">
        <v>138</v>
      </c>
      <c r="C45" s="12" t="s">
        <v>140</v>
      </c>
      <c r="D45" s="12" t="s">
        <v>354</v>
      </c>
      <c r="E45" s="12" t="s">
        <v>193</v>
      </c>
      <c r="F45" s="12" t="s">
        <v>195</v>
      </c>
      <c r="G45" s="12" t="s">
        <v>197</v>
      </c>
      <c r="H45" s="12" t="s">
        <v>199</v>
      </c>
      <c r="I45" s="12" t="s">
        <v>61</v>
      </c>
      <c r="J45" s="12" t="s">
        <v>355</v>
      </c>
      <c r="K45" s="12" t="s">
        <v>418</v>
      </c>
      <c r="L45" s="13" t="s">
        <v>357</v>
      </c>
      <c r="M45" s="15"/>
      <c r="N45" s="16" t="s">
        <v>23</v>
      </c>
    </row>
    <row r="46" spans="1:14" ht="82" customHeight="1">
      <c r="A46" s="12" t="s">
        <v>419</v>
      </c>
      <c r="B46" s="12" t="s">
        <v>138</v>
      </c>
      <c r="C46" s="12" t="s">
        <v>140</v>
      </c>
      <c r="D46" s="12" t="s">
        <v>346</v>
      </c>
      <c r="E46" s="12" t="s">
        <v>193</v>
      </c>
      <c r="F46" s="12" t="s">
        <v>197</v>
      </c>
      <c r="G46" s="12" t="s">
        <v>195</v>
      </c>
      <c r="H46" s="12" t="s">
        <v>199</v>
      </c>
      <c r="I46" s="12" t="s">
        <v>63</v>
      </c>
      <c r="J46" s="12" t="s">
        <v>61</v>
      </c>
      <c r="K46" s="12" t="s">
        <v>359</v>
      </c>
      <c r="L46" s="13" t="s">
        <v>360</v>
      </c>
      <c r="M46" s="15"/>
      <c r="N46" s="16" t="s">
        <v>23</v>
      </c>
    </row>
    <row r="47" spans="1:14" ht="82" customHeight="1">
      <c r="A47" s="12" t="s">
        <v>420</v>
      </c>
      <c r="B47" s="12" t="s">
        <v>138</v>
      </c>
      <c r="C47" s="12" t="s">
        <v>140</v>
      </c>
      <c r="D47" s="12" t="s">
        <v>346</v>
      </c>
      <c r="E47" s="12" t="s">
        <v>193</v>
      </c>
      <c r="F47" s="12" t="s">
        <v>197</v>
      </c>
      <c r="G47" s="12" t="s">
        <v>195</v>
      </c>
      <c r="H47" s="12" t="s">
        <v>199</v>
      </c>
      <c r="I47" s="12" t="s">
        <v>63</v>
      </c>
      <c r="J47" s="12" t="s">
        <v>63</v>
      </c>
      <c r="K47" s="12" t="s">
        <v>362</v>
      </c>
      <c r="L47" s="13" t="s">
        <v>363</v>
      </c>
      <c r="M47" s="15"/>
      <c r="N47" s="16" t="s">
        <v>23</v>
      </c>
    </row>
    <row r="48" spans="1:14" ht="82" customHeight="1">
      <c r="A48" s="12" t="s">
        <v>421</v>
      </c>
      <c r="B48" s="12" t="s">
        <v>138</v>
      </c>
      <c r="C48" s="12" t="s">
        <v>140</v>
      </c>
      <c r="D48" s="12" t="s">
        <v>346</v>
      </c>
      <c r="E48" s="12" t="s">
        <v>193</v>
      </c>
      <c r="F48" s="12" t="s">
        <v>197</v>
      </c>
      <c r="G48" s="12" t="s">
        <v>195</v>
      </c>
      <c r="H48" s="12" t="s">
        <v>199</v>
      </c>
      <c r="I48" s="12" t="s">
        <v>63</v>
      </c>
      <c r="J48" s="12" t="s">
        <v>65</v>
      </c>
      <c r="K48" s="12" t="s">
        <v>359</v>
      </c>
      <c r="L48" s="13" t="s">
        <v>360</v>
      </c>
      <c r="M48" s="15"/>
      <c r="N48" s="16" t="s">
        <v>23</v>
      </c>
    </row>
    <row r="49" spans="1:14" ht="82" customHeight="1">
      <c r="A49" s="12" t="s">
        <v>422</v>
      </c>
      <c r="B49" s="12" t="s">
        <v>138</v>
      </c>
      <c r="C49" s="12" t="s">
        <v>140</v>
      </c>
      <c r="D49" s="12" t="s">
        <v>354</v>
      </c>
      <c r="E49" s="12" t="s">
        <v>193</v>
      </c>
      <c r="F49" s="12" t="s">
        <v>197</v>
      </c>
      <c r="G49" s="12" t="s">
        <v>195</v>
      </c>
      <c r="H49" s="12" t="s">
        <v>199</v>
      </c>
      <c r="I49" s="12" t="s">
        <v>63</v>
      </c>
      <c r="J49" s="12" t="s">
        <v>355</v>
      </c>
      <c r="K49" s="12" t="s">
        <v>423</v>
      </c>
      <c r="L49" s="13" t="s">
        <v>367</v>
      </c>
      <c r="M49" s="15"/>
      <c r="N49" s="16" t="s">
        <v>23</v>
      </c>
    </row>
    <row r="50" spans="1:14" ht="82" customHeight="1">
      <c r="A50" s="12" t="s">
        <v>424</v>
      </c>
      <c r="B50" s="12" t="s">
        <v>138</v>
      </c>
      <c r="C50" s="12" t="s">
        <v>140</v>
      </c>
      <c r="D50" s="12" t="s">
        <v>346</v>
      </c>
      <c r="E50" s="12" t="s">
        <v>197</v>
      </c>
      <c r="F50" s="12" t="s">
        <v>199</v>
      </c>
      <c r="G50" s="12" t="s">
        <v>193</v>
      </c>
      <c r="H50" s="12" t="s">
        <v>195</v>
      </c>
      <c r="I50" s="12" t="s">
        <v>65</v>
      </c>
      <c r="J50" s="12" t="s">
        <v>61</v>
      </c>
      <c r="K50" s="12" t="s">
        <v>369</v>
      </c>
      <c r="L50" s="13" t="s">
        <v>370</v>
      </c>
      <c r="M50" s="15"/>
      <c r="N50" s="16" t="s">
        <v>23</v>
      </c>
    </row>
    <row r="51" spans="1:14" ht="82" customHeight="1">
      <c r="A51" s="12" t="s">
        <v>425</v>
      </c>
      <c r="B51" s="12" t="s">
        <v>138</v>
      </c>
      <c r="C51" s="12" t="s">
        <v>140</v>
      </c>
      <c r="D51" s="12" t="s">
        <v>346</v>
      </c>
      <c r="E51" s="12" t="s">
        <v>197</v>
      </c>
      <c r="F51" s="12" t="s">
        <v>199</v>
      </c>
      <c r="G51" s="12" t="s">
        <v>193</v>
      </c>
      <c r="H51" s="12" t="s">
        <v>195</v>
      </c>
      <c r="I51" s="12" t="s">
        <v>65</v>
      </c>
      <c r="J51" s="12" t="s">
        <v>63</v>
      </c>
      <c r="K51" s="12" t="s">
        <v>369</v>
      </c>
      <c r="L51" s="13" t="s">
        <v>370</v>
      </c>
      <c r="M51" s="15"/>
      <c r="N51" s="16" t="s">
        <v>23</v>
      </c>
    </row>
    <row r="52" spans="1:14" ht="82" customHeight="1">
      <c r="A52" s="12" t="s">
        <v>426</v>
      </c>
      <c r="B52" s="12" t="s">
        <v>138</v>
      </c>
      <c r="C52" s="12" t="s">
        <v>140</v>
      </c>
      <c r="D52" s="12" t="s">
        <v>346</v>
      </c>
      <c r="E52" s="12" t="s">
        <v>197</v>
      </c>
      <c r="F52" s="12" t="s">
        <v>199</v>
      </c>
      <c r="G52" s="12" t="s">
        <v>193</v>
      </c>
      <c r="H52" s="12" t="s">
        <v>195</v>
      </c>
      <c r="I52" s="12" t="s">
        <v>65</v>
      </c>
      <c r="J52" s="12" t="s">
        <v>65</v>
      </c>
      <c r="K52" s="12" t="s">
        <v>373</v>
      </c>
      <c r="L52" s="13" t="s">
        <v>374</v>
      </c>
      <c r="M52" s="15"/>
      <c r="N52" s="16" t="s">
        <v>23</v>
      </c>
    </row>
    <row r="53" spans="1:14" ht="82" customHeight="1">
      <c r="A53" s="12" t="s">
        <v>427</v>
      </c>
      <c r="B53" s="12" t="s">
        <v>138</v>
      </c>
      <c r="C53" s="12" t="s">
        <v>140</v>
      </c>
      <c r="D53" s="12" t="s">
        <v>354</v>
      </c>
      <c r="E53" s="12" t="s">
        <v>197</v>
      </c>
      <c r="F53" s="12" t="s">
        <v>199</v>
      </c>
      <c r="G53" s="12" t="s">
        <v>193</v>
      </c>
      <c r="H53" s="12" t="s">
        <v>195</v>
      </c>
      <c r="I53" s="12" t="s">
        <v>65</v>
      </c>
      <c r="J53" s="12" t="s">
        <v>355</v>
      </c>
      <c r="K53" s="12" t="s">
        <v>428</v>
      </c>
      <c r="L53" s="13" t="s">
        <v>377</v>
      </c>
      <c r="M53" s="15"/>
      <c r="N53" s="16" t="s">
        <v>23</v>
      </c>
    </row>
    <row r="54" spans="1:14" ht="82" customHeight="1">
      <c r="A54" s="12" t="s">
        <v>429</v>
      </c>
      <c r="B54" s="12" t="s">
        <v>153</v>
      </c>
      <c r="C54" s="12" t="s">
        <v>155</v>
      </c>
      <c r="D54" s="12" t="s">
        <v>346</v>
      </c>
      <c r="E54" s="12" t="s">
        <v>193</v>
      </c>
      <c r="F54" s="12" t="s">
        <v>195</v>
      </c>
      <c r="G54" s="12" t="s">
        <v>197</v>
      </c>
      <c r="H54" s="12" t="s">
        <v>199</v>
      </c>
      <c r="I54" s="12" t="s">
        <v>61</v>
      </c>
      <c r="J54" s="12" t="s">
        <v>61</v>
      </c>
      <c r="K54" s="12" t="s">
        <v>430</v>
      </c>
      <c r="L54" s="13" t="s">
        <v>348</v>
      </c>
      <c r="M54" s="15"/>
      <c r="N54" s="16" t="s">
        <v>23</v>
      </c>
    </row>
    <row r="55" spans="1:14" ht="82" customHeight="1">
      <c r="A55" s="12" t="s">
        <v>431</v>
      </c>
      <c r="B55" s="12" t="s">
        <v>153</v>
      </c>
      <c r="C55" s="12" t="s">
        <v>155</v>
      </c>
      <c r="D55" s="12" t="s">
        <v>346</v>
      </c>
      <c r="E55" s="12" t="s">
        <v>193</v>
      </c>
      <c r="F55" s="12" t="s">
        <v>195</v>
      </c>
      <c r="G55" s="12" t="s">
        <v>197</v>
      </c>
      <c r="H55" s="12" t="s">
        <v>199</v>
      </c>
      <c r="I55" s="12" t="s">
        <v>61</v>
      </c>
      <c r="J55" s="12" t="s">
        <v>63</v>
      </c>
      <c r="K55" s="12" t="s">
        <v>432</v>
      </c>
      <c r="L55" s="13" t="s">
        <v>351</v>
      </c>
      <c r="M55" s="15"/>
      <c r="N55" s="16" t="s">
        <v>23</v>
      </c>
    </row>
    <row r="56" spans="1:14" ht="82" customHeight="1">
      <c r="A56" s="12" t="s">
        <v>433</v>
      </c>
      <c r="B56" s="12" t="s">
        <v>153</v>
      </c>
      <c r="C56" s="12" t="s">
        <v>155</v>
      </c>
      <c r="D56" s="12" t="s">
        <v>346</v>
      </c>
      <c r="E56" s="12" t="s">
        <v>193</v>
      </c>
      <c r="F56" s="12" t="s">
        <v>195</v>
      </c>
      <c r="G56" s="12" t="s">
        <v>197</v>
      </c>
      <c r="H56" s="12" t="s">
        <v>199</v>
      </c>
      <c r="I56" s="12" t="s">
        <v>61</v>
      </c>
      <c r="J56" s="12" t="s">
        <v>65</v>
      </c>
      <c r="K56" s="12" t="s">
        <v>432</v>
      </c>
      <c r="L56" s="13" t="s">
        <v>351</v>
      </c>
      <c r="M56" s="15"/>
      <c r="N56" s="16" t="s">
        <v>23</v>
      </c>
    </row>
    <row r="57" spans="1:14" ht="82" customHeight="1">
      <c r="A57" s="12" t="s">
        <v>434</v>
      </c>
      <c r="B57" s="12" t="s">
        <v>153</v>
      </c>
      <c r="C57" s="12" t="s">
        <v>155</v>
      </c>
      <c r="D57" s="12" t="s">
        <v>354</v>
      </c>
      <c r="E57" s="12" t="s">
        <v>193</v>
      </c>
      <c r="F57" s="12" t="s">
        <v>195</v>
      </c>
      <c r="G57" s="12" t="s">
        <v>197</v>
      </c>
      <c r="H57" s="12" t="s">
        <v>199</v>
      </c>
      <c r="I57" s="12" t="s">
        <v>61</v>
      </c>
      <c r="J57" s="12" t="s">
        <v>355</v>
      </c>
      <c r="K57" s="12" t="s">
        <v>435</v>
      </c>
      <c r="L57" s="13" t="s">
        <v>357</v>
      </c>
      <c r="M57" s="15"/>
      <c r="N57" s="16" t="s">
        <v>23</v>
      </c>
    </row>
    <row r="58" spans="1:14" ht="82" customHeight="1">
      <c r="A58" s="12" t="s">
        <v>436</v>
      </c>
      <c r="B58" s="12" t="s">
        <v>153</v>
      </c>
      <c r="C58" s="12" t="s">
        <v>155</v>
      </c>
      <c r="D58" s="12" t="s">
        <v>346</v>
      </c>
      <c r="E58" s="12" t="s">
        <v>193</v>
      </c>
      <c r="F58" s="12" t="s">
        <v>197</v>
      </c>
      <c r="G58" s="12" t="s">
        <v>195</v>
      </c>
      <c r="H58" s="12" t="s">
        <v>199</v>
      </c>
      <c r="I58" s="12" t="s">
        <v>63</v>
      </c>
      <c r="J58" s="12" t="s">
        <v>61</v>
      </c>
      <c r="K58" s="12" t="s">
        <v>359</v>
      </c>
      <c r="L58" s="13" t="s">
        <v>360</v>
      </c>
      <c r="M58" s="15"/>
      <c r="N58" s="16" t="s">
        <v>23</v>
      </c>
    </row>
    <row r="59" spans="1:14" ht="82" customHeight="1">
      <c r="A59" s="12" t="s">
        <v>437</v>
      </c>
      <c r="B59" s="12" t="s">
        <v>153</v>
      </c>
      <c r="C59" s="12" t="s">
        <v>155</v>
      </c>
      <c r="D59" s="12" t="s">
        <v>346</v>
      </c>
      <c r="E59" s="12" t="s">
        <v>193</v>
      </c>
      <c r="F59" s="12" t="s">
        <v>197</v>
      </c>
      <c r="G59" s="12" t="s">
        <v>195</v>
      </c>
      <c r="H59" s="12" t="s">
        <v>199</v>
      </c>
      <c r="I59" s="12" t="s">
        <v>63</v>
      </c>
      <c r="J59" s="12" t="s">
        <v>63</v>
      </c>
      <c r="K59" s="12" t="s">
        <v>362</v>
      </c>
      <c r="L59" s="13" t="s">
        <v>363</v>
      </c>
      <c r="M59" s="15"/>
      <c r="N59" s="16" t="s">
        <v>23</v>
      </c>
    </row>
    <row r="60" spans="1:14" ht="82" customHeight="1">
      <c r="A60" s="12" t="s">
        <v>438</v>
      </c>
      <c r="B60" s="12" t="s">
        <v>153</v>
      </c>
      <c r="C60" s="12" t="s">
        <v>155</v>
      </c>
      <c r="D60" s="12" t="s">
        <v>346</v>
      </c>
      <c r="E60" s="12" t="s">
        <v>193</v>
      </c>
      <c r="F60" s="12" t="s">
        <v>197</v>
      </c>
      <c r="G60" s="12" t="s">
        <v>195</v>
      </c>
      <c r="H60" s="12" t="s">
        <v>199</v>
      </c>
      <c r="I60" s="12" t="s">
        <v>63</v>
      </c>
      <c r="J60" s="12" t="s">
        <v>65</v>
      </c>
      <c r="K60" s="12" t="s">
        <v>359</v>
      </c>
      <c r="L60" s="13" t="s">
        <v>360</v>
      </c>
      <c r="M60" s="15"/>
      <c r="N60" s="16" t="s">
        <v>23</v>
      </c>
    </row>
    <row r="61" spans="1:14" ht="82" customHeight="1">
      <c r="A61" s="12" t="s">
        <v>439</v>
      </c>
      <c r="B61" s="12" t="s">
        <v>153</v>
      </c>
      <c r="C61" s="12" t="s">
        <v>155</v>
      </c>
      <c r="D61" s="12" t="s">
        <v>354</v>
      </c>
      <c r="E61" s="12" t="s">
        <v>193</v>
      </c>
      <c r="F61" s="12" t="s">
        <v>197</v>
      </c>
      <c r="G61" s="12" t="s">
        <v>195</v>
      </c>
      <c r="H61" s="12" t="s">
        <v>199</v>
      </c>
      <c r="I61" s="12" t="s">
        <v>63</v>
      </c>
      <c r="J61" s="12" t="s">
        <v>355</v>
      </c>
      <c r="K61" s="12" t="s">
        <v>440</v>
      </c>
      <c r="L61" s="13" t="s">
        <v>367</v>
      </c>
      <c r="M61" s="15"/>
      <c r="N61" s="16" t="s">
        <v>23</v>
      </c>
    </row>
    <row r="62" spans="1:14" ht="82" customHeight="1">
      <c r="A62" s="12" t="s">
        <v>441</v>
      </c>
      <c r="B62" s="12" t="s">
        <v>153</v>
      </c>
      <c r="C62" s="12" t="s">
        <v>155</v>
      </c>
      <c r="D62" s="12" t="s">
        <v>346</v>
      </c>
      <c r="E62" s="12" t="s">
        <v>197</v>
      </c>
      <c r="F62" s="12" t="s">
        <v>199</v>
      </c>
      <c r="G62" s="12" t="s">
        <v>193</v>
      </c>
      <c r="H62" s="12" t="s">
        <v>195</v>
      </c>
      <c r="I62" s="12" t="s">
        <v>65</v>
      </c>
      <c r="J62" s="12" t="s">
        <v>61</v>
      </c>
      <c r="K62" s="12" t="s">
        <v>369</v>
      </c>
      <c r="L62" s="13" t="s">
        <v>370</v>
      </c>
      <c r="M62" s="15"/>
      <c r="N62" s="16" t="s">
        <v>23</v>
      </c>
    </row>
    <row r="63" spans="1:14" ht="82" customHeight="1">
      <c r="A63" s="12" t="s">
        <v>442</v>
      </c>
      <c r="B63" s="12" t="s">
        <v>153</v>
      </c>
      <c r="C63" s="12" t="s">
        <v>155</v>
      </c>
      <c r="D63" s="12" t="s">
        <v>346</v>
      </c>
      <c r="E63" s="12" t="s">
        <v>197</v>
      </c>
      <c r="F63" s="12" t="s">
        <v>199</v>
      </c>
      <c r="G63" s="12" t="s">
        <v>193</v>
      </c>
      <c r="H63" s="12" t="s">
        <v>195</v>
      </c>
      <c r="I63" s="12" t="s">
        <v>65</v>
      </c>
      <c r="J63" s="12" t="s">
        <v>63</v>
      </c>
      <c r="K63" s="12" t="s">
        <v>369</v>
      </c>
      <c r="L63" s="13" t="s">
        <v>370</v>
      </c>
      <c r="M63" s="15"/>
      <c r="N63" s="16" t="s">
        <v>23</v>
      </c>
    </row>
    <row r="64" spans="1:14" ht="82" customHeight="1">
      <c r="A64" s="12" t="s">
        <v>443</v>
      </c>
      <c r="B64" s="12" t="s">
        <v>153</v>
      </c>
      <c r="C64" s="12" t="s">
        <v>155</v>
      </c>
      <c r="D64" s="12" t="s">
        <v>346</v>
      </c>
      <c r="E64" s="12" t="s">
        <v>197</v>
      </c>
      <c r="F64" s="12" t="s">
        <v>199</v>
      </c>
      <c r="G64" s="12" t="s">
        <v>193</v>
      </c>
      <c r="H64" s="12" t="s">
        <v>195</v>
      </c>
      <c r="I64" s="12" t="s">
        <v>65</v>
      </c>
      <c r="J64" s="12" t="s">
        <v>65</v>
      </c>
      <c r="K64" s="12" t="s">
        <v>373</v>
      </c>
      <c r="L64" s="13" t="s">
        <v>374</v>
      </c>
      <c r="M64" s="15"/>
      <c r="N64" s="16" t="s">
        <v>23</v>
      </c>
    </row>
    <row r="65" spans="1:14" ht="82" customHeight="1">
      <c r="A65" s="12" t="s">
        <v>444</v>
      </c>
      <c r="B65" s="12" t="s">
        <v>153</v>
      </c>
      <c r="C65" s="12" t="s">
        <v>155</v>
      </c>
      <c r="D65" s="12" t="s">
        <v>354</v>
      </c>
      <c r="E65" s="12" t="s">
        <v>197</v>
      </c>
      <c r="F65" s="12" t="s">
        <v>199</v>
      </c>
      <c r="G65" s="12" t="s">
        <v>193</v>
      </c>
      <c r="H65" s="12" t="s">
        <v>195</v>
      </c>
      <c r="I65" s="12" t="s">
        <v>65</v>
      </c>
      <c r="J65" s="12" t="s">
        <v>355</v>
      </c>
      <c r="K65" s="12" t="s">
        <v>445</v>
      </c>
      <c r="L65" s="13" t="s">
        <v>377</v>
      </c>
      <c r="M65" s="15"/>
      <c r="N65" s="16" t="s">
        <v>23</v>
      </c>
    </row>
  </sheetData>
  <mergeCells count="2">
    <mergeCell ref="A1:N2"/>
    <mergeCell ref="A3:N3"/>
  </mergeCells>
  <conditionalFormatting sqref="N6:N65">
    <cfRule type="containsText" dxfId="17" priority="1" operator="containsText" text="Pass"/>
    <cfRule type="containsText" dxfId="16" priority="2" operator="containsText" text="Fail"/>
    <cfRule type="containsText" dxfId="15" priority="3" operator="containsText" text="Blocked"/>
    <cfRule type="containsText" dxfId="14" priority="4" operator="containsText" text="Not Run"/>
  </conditionalFormatting>
  <dataValidations count="1">
    <dataValidation type="list" sqref="N6:N65" xr:uid="{00000000-0002-0000-0400-000000000000}">
      <formula1>"Not Run,Pass,Fail,Blocked"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40"/>
  <sheetViews>
    <sheetView showGridLines="0" topLeftCell="A9" workbookViewId="0">
      <selection activeCell="L6" sqref="L6"/>
    </sheetView>
  </sheetViews>
  <sheetFormatPr baseColWidth="10" defaultColWidth="8.83203125" defaultRowHeight="14"/>
  <cols>
    <col min="1" max="1" width="28" customWidth="1"/>
    <col min="2" max="2" width="18" customWidth="1"/>
    <col min="3" max="3" width="44" customWidth="1"/>
    <col min="4" max="4" width="28" customWidth="1"/>
    <col min="5" max="5" width="54" customWidth="1"/>
    <col min="6" max="9" width="11" customWidth="1"/>
    <col min="10" max="12" width="55" customWidth="1"/>
    <col min="13" max="13" width="18" customWidth="1"/>
  </cols>
  <sheetData>
    <row r="1" spans="1:13" ht="28" customHeight="1">
      <c r="A1" s="38" t="s">
        <v>21</v>
      </c>
      <c r="B1" s="38"/>
      <c r="C1" s="38"/>
      <c r="D1" s="38"/>
      <c r="E1" s="38"/>
      <c r="F1" s="38"/>
      <c r="G1" s="38"/>
      <c r="H1" s="38"/>
      <c r="I1" s="38"/>
      <c r="J1" s="38"/>
      <c r="K1" s="38"/>
      <c r="L1" s="38"/>
      <c r="M1" s="38"/>
    </row>
    <row r="2" spans="1:13" ht="28" customHeight="1">
      <c r="A2" s="38"/>
      <c r="B2" s="38"/>
      <c r="C2" s="38"/>
      <c r="D2" s="38"/>
      <c r="E2" s="38"/>
      <c r="F2" s="38"/>
      <c r="G2" s="38"/>
      <c r="H2" s="38"/>
      <c r="I2" s="38"/>
      <c r="J2" s="38"/>
      <c r="K2" s="38"/>
      <c r="L2" s="38"/>
      <c r="M2" s="38"/>
    </row>
    <row r="3" spans="1:13" ht="34" customHeight="1">
      <c r="A3" s="51" t="s">
        <v>446</v>
      </c>
      <c r="B3" s="51"/>
      <c r="C3" s="51"/>
      <c r="D3" s="51"/>
      <c r="E3" s="51"/>
      <c r="F3" s="51"/>
      <c r="G3" s="51"/>
      <c r="H3" s="51"/>
      <c r="I3" s="51"/>
      <c r="J3" s="51"/>
      <c r="K3" s="51"/>
      <c r="L3" s="51"/>
      <c r="M3" s="51"/>
    </row>
    <row r="4" spans="1:13">
      <c r="A4" s="4"/>
      <c r="B4" s="4"/>
      <c r="C4" s="4"/>
      <c r="D4" s="4"/>
      <c r="E4" s="4"/>
      <c r="F4" s="4"/>
      <c r="G4" s="4"/>
      <c r="H4" s="4"/>
      <c r="I4" s="4"/>
      <c r="J4" s="4"/>
      <c r="K4" s="4"/>
      <c r="L4" s="4"/>
      <c r="M4" s="4"/>
    </row>
    <row r="5" spans="1:13" s="70" customFormat="1" ht="42" customHeight="1">
      <c r="A5" s="67" t="s">
        <v>169</v>
      </c>
      <c r="B5" s="68" t="s">
        <v>77</v>
      </c>
      <c r="C5" s="68" t="s">
        <v>79</v>
      </c>
      <c r="D5" s="68" t="s">
        <v>447</v>
      </c>
      <c r="E5" s="68" t="s">
        <v>448</v>
      </c>
      <c r="F5" s="68" t="s">
        <v>338</v>
      </c>
      <c r="G5" s="68" t="s">
        <v>339</v>
      </c>
      <c r="H5" s="68" t="s">
        <v>340</v>
      </c>
      <c r="I5" s="68" t="s">
        <v>341</v>
      </c>
      <c r="J5" s="68" t="s">
        <v>449</v>
      </c>
      <c r="K5" s="68" t="s">
        <v>14</v>
      </c>
      <c r="L5" s="68" t="s">
        <v>190</v>
      </c>
      <c r="M5" s="69" t="s">
        <v>191</v>
      </c>
    </row>
    <row r="6" spans="1:13" ht="88" customHeight="1">
      <c r="A6" s="6" t="s">
        <v>450</v>
      </c>
      <c r="B6" s="6" t="s">
        <v>93</v>
      </c>
      <c r="C6" s="6" t="s">
        <v>95</v>
      </c>
      <c r="D6" s="6" t="s">
        <v>451</v>
      </c>
      <c r="E6" s="6" t="s">
        <v>452</v>
      </c>
      <c r="F6" s="6" t="s">
        <v>193</v>
      </c>
      <c r="G6" s="6" t="s">
        <v>195</v>
      </c>
      <c r="H6" s="6" t="s">
        <v>197</v>
      </c>
      <c r="I6" s="6" t="s">
        <v>199</v>
      </c>
      <c r="J6" s="6" t="s">
        <v>453</v>
      </c>
      <c r="K6" s="7" t="s">
        <v>454</v>
      </c>
      <c r="L6" s="71"/>
      <c r="M6" s="10" t="s">
        <v>620</v>
      </c>
    </row>
    <row r="7" spans="1:13" ht="88" customHeight="1">
      <c r="A7" s="12" t="s">
        <v>455</v>
      </c>
      <c r="B7" s="12" t="s">
        <v>93</v>
      </c>
      <c r="C7" s="12" t="s">
        <v>95</v>
      </c>
      <c r="D7" s="12" t="s">
        <v>456</v>
      </c>
      <c r="E7" s="12" t="s">
        <v>457</v>
      </c>
      <c r="F7" s="12" t="s">
        <v>193</v>
      </c>
      <c r="G7" s="12" t="s">
        <v>195</v>
      </c>
      <c r="H7" s="12" t="s">
        <v>197</v>
      </c>
      <c r="I7" s="12" t="s">
        <v>199</v>
      </c>
      <c r="J7" s="12" t="s">
        <v>458</v>
      </c>
      <c r="K7" s="13" t="s">
        <v>459</v>
      </c>
      <c r="L7" s="72"/>
      <c r="M7" s="16" t="s">
        <v>23</v>
      </c>
    </row>
    <row r="8" spans="1:13" ht="88" customHeight="1">
      <c r="A8" s="12" t="s">
        <v>460</v>
      </c>
      <c r="B8" s="12" t="s">
        <v>93</v>
      </c>
      <c r="C8" s="12" t="s">
        <v>95</v>
      </c>
      <c r="D8" s="12" t="s">
        <v>461</v>
      </c>
      <c r="E8" s="12" t="s">
        <v>462</v>
      </c>
      <c r="F8" s="12" t="s">
        <v>193</v>
      </c>
      <c r="G8" s="12" t="s">
        <v>195</v>
      </c>
      <c r="H8" s="12" t="s">
        <v>197</v>
      </c>
      <c r="I8" s="12" t="s">
        <v>199</v>
      </c>
      <c r="J8" s="12" t="s">
        <v>463</v>
      </c>
      <c r="K8" s="13" t="s">
        <v>464</v>
      </c>
      <c r="L8" s="72"/>
      <c r="M8" s="16" t="s">
        <v>23</v>
      </c>
    </row>
    <row r="9" spans="1:13" ht="88" customHeight="1">
      <c r="A9" s="12" t="s">
        <v>465</v>
      </c>
      <c r="B9" s="12" t="s">
        <v>93</v>
      </c>
      <c r="C9" s="12" t="s">
        <v>95</v>
      </c>
      <c r="D9" s="12" t="s">
        <v>466</v>
      </c>
      <c r="E9" s="12" t="s">
        <v>467</v>
      </c>
      <c r="F9" s="12" t="s">
        <v>197</v>
      </c>
      <c r="G9" s="12" t="s">
        <v>195</v>
      </c>
      <c r="H9" s="12" t="s">
        <v>193</v>
      </c>
      <c r="I9" s="12" t="s">
        <v>199</v>
      </c>
      <c r="J9" s="12" t="s">
        <v>468</v>
      </c>
      <c r="K9" s="13" t="s">
        <v>469</v>
      </c>
      <c r="L9" s="72"/>
      <c r="M9" s="16" t="s">
        <v>23</v>
      </c>
    </row>
    <row r="10" spans="1:13" ht="88" customHeight="1">
      <c r="A10" s="12" t="s">
        <v>470</v>
      </c>
      <c r="B10" s="12" t="s">
        <v>93</v>
      </c>
      <c r="C10" s="12" t="s">
        <v>95</v>
      </c>
      <c r="D10" s="12" t="s">
        <v>471</v>
      </c>
      <c r="E10" s="12" t="s">
        <v>472</v>
      </c>
      <c r="F10" s="12" t="s">
        <v>197</v>
      </c>
      <c r="G10" s="12" t="s">
        <v>195</v>
      </c>
      <c r="H10" s="12" t="s">
        <v>193</v>
      </c>
      <c r="I10" s="12" t="s">
        <v>199</v>
      </c>
      <c r="J10" s="12" t="s">
        <v>473</v>
      </c>
      <c r="K10" s="13" t="s">
        <v>474</v>
      </c>
      <c r="L10" s="72"/>
      <c r="M10" s="16" t="s">
        <v>23</v>
      </c>
    </row>
    <row r="11" spans="1:13" ht="88" customHeight="1">
      <c r="A11" s="12" t="s">
        <v>475</v>
      </c>
      <c r="B11" s="12" t="s">
        <v>93</v>
      </c>
      <c r="C11" s="12" t="s">
        <v>95</v>
      </c>
      <c r="D11" s="12" t="s">
        <v>476</v>
      </c>
      <c r="E11" s="12" t="s">
        <v>477</v>
      </c>
      <c r="F11" s="12" t="s">
        <v>193</v>
      </c>
      <c r="G11" s="12" t="s">
        <v>195</v>
      </c>
      <c r="H11" s="12" t="s">
        <v>197</v>
      </c>
      <c r="I11" s="12" t="s">
        <v>199</v>
      </c>
      <c r="J11" s="12" t="s">
        <v>478</v>
      </c>
      <c r="K11" s="13" t="s">
        <v>479</v>
      </c>
      <c r="L11" s="72"/>
      <c r="M11" s="16" t="s">
        <v>23</v>
      </c>
    </row>
    <row r="12" spans="1:13" ht="88" customHeight="1">
      <c r="A12" s="12" t="s">
        <v>480</v>
      </c>
      <c r="B12" s="12" t="s">
        <v>93</v>
      </c>
      <c r="C12" s="12" t="s">
        <v>95</v>
      </c>
      <c r="D12" s="12" t="s">
        <v>481</v>
      </c>
      <c r="E12" s="12" t="s">
        <v>482</v>
      </c>
      <c r="F12" s="12" t="s">
        <v>193</v>
      </c>
      <c r="G12" s="12" t="s">
        <v>195</v>
      </c>
      <c r="H12" s="12" t="s">
        <v>197</v>
      </c>
      <c r="I12" s="12" t="s">
        <v>199</v>
      </c>
      <c r="J12" s="12" t="s">
        <v>483</v>
      </c>
      <c r="K12" s="13" t="s">
        <v>484</v>
      </c>
      <c r="L12" s="72"/>
      <c r="M12" s="16" t="s">
        <v>23</v>
      </c>
    </row>
    <row r="13" spans="1:13" ht="88" customHeight="1">
      <c r="A13" s="12" t="s">
        <v>485</v>
      </c>
      <c r="B13" s="12" t="s">
        <v>108</v>
      </c>
      <c r="C13" s="12" t="s">
        <v>110</v>
      </c>
      <c r="D13" s="12" t="s">
        <v>451</v>
      </c>
      <c r="E13" s="12" t="s">
        <v>452</v>
      </c>
      <c r="F13" s="12" t="s">
        <v>193</v>
      </c>
      <c r="G13" s="12" t="s">
        <v>195</v>
      </c>
      <c r="H13" s="12" t="s">
        <v>197</v>
      </c>
      <c r="I13" s="12" t="s">
        <v>199</v>
      </c>
      <c r="J13" s="12" t="s">
        <v>453</v>
      </c>
      <c r="K13" s="13" t="s">
        <v>454</v>
      </c>
      <c r="L13" s="72" t="s">
        <v>619</v>
      </c>
      <c r="M13" s="16" t="s">
        <v>618</v>
      </c>
    </row>
    <row r="14" spans="1:13" ht="88" customHeight="1">
      <c r="A14" s="12" t="s">
        <v>486</v>
      </c>
      <c r="B14" s="12" t="s">
        <v>108</v>
      </c>
      <c r="C14" s="12" t="s">
        <v>110</v>
      </c>
      <c r="D14" s="12" t="s">
        <v>456</v>
      </c>
      <c r="E14" s="12" t="s">
        <v>457</v>
      </c>
      <c r="F14" s="12" t="s">
        <v>193</v>
      </c>
      <c r="G14" s="12" t="s">
        <v>195</v>
      </c>
      <c r="H14" s="12" t="s">
        <v>197</v>
      </c>
      <c r="I14" s="12" t="s">
        <v>199</v>
      </c>
      <c r="J14" s="12" t="s">
        <v>458</v>
      </c>
      <c r="K14" s="13" t="s">
        <v>459</v>
      </c>
      <c r="L14" s="72"/>
      <c r="M14" s="16" t="s">
        <v>23</v>
      </c>
    </row>
    <row r="15" spans="1:13" ht="88" customHeight="1">
      <c r="A15" s="12" t="s">
        <v>487</v>
      </c>
      <c r="B15" s="12" t="s">
        <v>108</v>
      </c>
      <c r="C15" s="12" t="s">
        <v>110</v>
      </c>
      <c r="D15" s="12" t="s">
        <v>461</v>
      </c>
      <c r="E15" s="12" t="s">
        <v>462</v>
      </c>
      <c r="F15" s="12" t="s">
        <v>193</v>
      </c>
      <c r="G15" s="12" t="s">
        <v>195</v>
      </c>
      <c r="H15" s="12" t="s">
        <v>197</v>
      </c>
      <c r="I15" s="12" t="s">
        <v>199</v>
      </c>
      <c r="J15" s="12" t="s">
        <v>463</v>
      </c>
      <c r="K15" s="13" t="s">
        <v>464</v>
      </c>
      <c r="L15" s="72"/>
      <c r="M15" s="16" t="s">
        <v>23</v>
      </c>
    </row>
    <row r="16" spans="1:13" ht="88" customHeight="1">
      <c r="A16" s="12" t="s">
        <v>488</v>
      </c>
      <c r="B16" s="12" t="s">
        <v>108</v>
      </c>
      <c r="C16" s="12" t="s">
        <v>110</v>
      </c>
      <c r="D16" s="12" t="s">
        <v>466</v>
      </c>
      <c r="E16" s="12" t="s">
        <v>467</v>
      </c>
      <c r="F16" s="12" t="s">
        <v>197</v>
      </c>
      <c r="G16" s="12" t="s">
        <v>195</v>
      </c>
      <c r="H16" s="12" t="s">
        <v>193</v>
      </c>
      <c r="I16" s="12" t="s">
        <v>199</v>
      </c>
      <c r="J16" s="12" t="s">
        <v>468</v>
      </c>
      <c r="K16" s="13" t="s">
        <v>469</v>
      </c>
      <c r="L16" s="72"/>
      <c r="M16" s="16" t="s">
        <v>23</v>
      </c>
    </row>
    <row r="17" spans="1:13" ht="88" customHeight="1">
      <c r="A17" s="12" t="s">
        <v>489</v>
      </c>
      <c r="B17" s="12" t="s">
        <v>108</v>
      </c>
      <c r="C17" s="12" t="s">
        <v>110</v>
      </c>
      <c r="D17" s="12" t="s">
        <v>471</v>
      </c>
      <c r="E17" s="12" t="s">
        <v>472</v>
      </c>
      <c r="F17" s="12" t="s">
        <v>197</v>
      </c>
      <c r="G17" s="12" t="s">
        <v>195</v>
      </c>
      <c r="H17" s="12" t="s">
        <v>193</v>
      </c>
      <c r="I17" s="12" t="s">
        <v>199</v>
      </c>
      <c r="J17" s="12" t="s">
        <v>473</v>
      </c>
      <c r="K17" s="13" t="s">
        <v>474</v>
      </c>
      <c r="L17" s="72"/>
      <c r="M17" s="16" t="s">
        <v>23</v>
      </c>
    </row>
    <row r="18" spans="1:13" ht="88" customHeight="1">
      <c r="A18" s="12" t="s">
        <v>490</v>
      </c>
      <c r="B18" s="12" t="s">
        <v>108</v>
      </c>
      <c r="C18" s="12" t="s">
        <v>110</v>
      </c>
      <c r="D18" s="12" t="s">
        <v>476</v>
      </c>
      <c r="E18" s="12" t="s">
        <v>477</v>
      </c>
      <c r="F18" s="12" t="s">
        <v>193</v>
      </c>
      <c r="G18" s="12" t="s">
        <v>195</v>
      </c>
      <c r="H18" s="12" t="s">
        <v>197</v>
      </c>
      <c r="I18" s="12" t="s">
        <v>199</v>
      </c>
      <c r="J18" s="12" t="s">
        <v>478</v>
      </c>
      <c r="K18" s="13" t="s">
        <v>479</v>
      </c>
      <c r="L18" s="72"/>
      <c r="M18" s="16" t="s">
        <v>23</v>
      </c>
    </row>
    <row r="19" spans="1:13" ht="88" customHeight="1">
      <c r="A19" s="12" t="s">
        <v>491</v>
      </c>
      <c r="B19" s="12" t="s">
        <v>108</v>
      </c>
      <c r="C19" s="12" t="s">
        <v>110</v>
      </c>
      <c r="D19" s="12" t="s">
        <v>481</v>
      </c>
      <c r="E19" s="12" t="s">
        <v>482</v>
      </c>
      <c r="F19" s="12" t="s">
        <v>193</v>
      </c>
      <c r="G19" s="12" t="s">
        <v>195</v>
      </c>
      <c r="H19" s="12" t="s">
        <v>197</v>
      </c>
      <c r="I19" s="12" t="s">
        <v>199</v>
      </c>
      <c r="J19" s="12" t="s">
        <v>483</v>
      </c>
      <c r="K19" s="13" t="s">
        <v>484</v>
      </c>
      <c r="L19" s="72"/>
      <c r="M19" s="16" t="s">
        <v>23</v>
      </c>
    </row>
    <row r="20" spans="1:13" ht="88" customHeight="1">
      <c r="A20" s="12" t="s">
        <v>492</v>
      </c>
      <c r="B20" s="12" t="s">
        <v>123</v>
      </c>
      <c r="C20" s="12" t="s">
        <v>125</v>
      </c>
      <c r="D20" s="12" t="s">
        <v>451</v>
      </c>
      <c r="E20" s="12" t="s">
        <v>452</v>
      </c>
      <c r="F20" s="12" t="s">
        <v>193</v>
      </c>
      <c r="G20" s="12" t="s">
        <v>195</v>
      </c>
      <c r="H20" s="12" t="s">
        <v>197</v>
      </c>
      <c r="I20" s="12" t="s">
        <v>199</v>
      </c>
      <c r="J20" s="12" t="s">
        <v>453</v>
      </c>
      <c r="K20" s="13" t="s">
        <v>454</v>
      </c>
      <c r="L20" s="72"/>
      <c r="M20" s="16" t="s">
        <v>23</v>
      </c>
    </row>
    <row r="21" spans="1:13" ht="88" customHeight="1">
      <c r="A21" s="12" t="s">
        <v>493</v>
      </c>
      <c r="B21" s="12" t="s">
        <v>123</v>
      </c>
      <c r="C21" s="12" t="s">
        <v>125</v>
      </c>
      <c r="D21" s="12" t="s">
        <v>456</v>
      </c>
      <c r="E21" s="12" t="s">
        <v>457</v>
      </c>
      <c r="F21" s="12" t="s">
        <v>193</v>
      </c>
      <c r="G21" s="12" t="s">
        <v>195</v>
      </c>
      <c r="H21" s="12" t="s">
        <v>197</v>
      </c>
      <c r="I21" s="12" t="s">
        <v>199</v>
      </c>
      <c r="J21" s="12" t="s">
        <v>458</v>
      </c>
      <c r="K21" s="13" t="s">
        <v>459</v>
      </c>
      <c r="L21" s="72"/>
      <c r="M21" s="16" t="s">
        <v>23</v>
      </c>
    </row>
    <row r="22" spans="1:13" ht="88" customHeight="1">
      <c r="A22" s="12" t="s">
        <v>494</v>
      </c>
      <c r="B22" s="12" t="s">
        <v>123</v>
      </c>
      <c r="C22" s="12" t="s">
        <v>125</v>
      </c>
      <c r="D22" s="12" t="s">
        <v>461</v>
      </c>
      <c r="E22" s="12" t="s">
        <v>462</v>
      </c>
      <c r="F22" s="12" t="s">
        <v>193</v>
      </c>
      <c r="G22" s="12" t="s">
        <v>195</v>
      </c>
      <c r="H22" s="12" t="s">
        <v>197</v>
      </c>
      <c r="I22" s="12" t="s">
        <v>199</v>
      </c>
      <c r="J22" s="12" t="s">
        <v>463</v>
      </c>
      <c r="K22" s="13" t="s">
        <v>464</v>
      </c>
      <c r="L22" s="72"/>
      <c r="M22" s="16" t="s">
        <v>23</v>
      </c>
    </row>
    <row r="23" spans="1:13" ht="88" customHeight="1">
      <c r="A23" s="12" t="s">
        <v>495</v>
      </c>
      <c r="B23" s="12" t="s">
        <v>123</v>
      </c>
      <c r="C23" s="12" t="s">
        <v>125</v>
      </c>
      <c r="D23" s="12" t="s">
        <v>466</v>
      </c>
      <c r="E23" s="12" t="s">
        <v>467</v>
      </c>
      <c r="F23" s="12" t="s">
        <v>197</v>
      </c>
      <c r="G23" s="12" t="s">
        <v>195</v>
      </c>
      <c r="H23" s="12" t="s">
        <v>193</v>
      </c>
      <c r="I23" s="12" t="s">
        <v>199</v>
      </c>
      <c r="J23" s="12" t="s">
        <v>468</v>
      </c>
      <c r="K23" s="13" t="s">
        <v>469</v>
      </c>
      <c r="L23" s="72"/>
      <c r="M23" s="16" t="s">
        <v>23</v>
      </c>
    </row>
    <row r="24" spans="1:13" ht="88" customHeight="1">
      <c r="A24" s="12" t="s">
        <v>496</v>
      </c>
      <c r="B24" s="12" t="s">
        <v>123</v>
      </c>
      <c r="C24" s="12" t="s">
        <v>125</v>
      </c>
      <c r="D24" s="12" t="s">
        <v>471</v>
      </c>
      <c r="E24" s="12" t="s">
        <v>472</v>
      </c>
      <c r="F24" s="12" t="s">
        <v>197</v>
      </c>
      <c r="G24" s="12" t="s">
        <v>195</v>
      </c>
      <c r="H24" s="12" t="s">
        <v>193</v>
      </c>
      <c r="I24" s="12" t="s">
        <v>199</v>
      </c>
      <c r="J24" s="12" t="s">
        <v>473</v>
      </c>
      <c r="K24" s="13" t="s">
        <v>474</v>
      </c>
      <c r="L24" s="72"/>
      <c r="M24" s="16" t="s">
        <v>23</v>
      </c>
    </row>
    <row r="25" spans="1:13" ht="88" customHeight="1">
      <c r="A25" s="12" t="s">
        <v>497</v>
      </c>
      <c r="B25" s="12" t="s">
        <v>123</v>
      </c>
      <c r="C25" s="12" t="s">
        <v>125</v>
      </c>
      <c r="D25" s="12" t="s">
        <v>476</v>
      </c>
      <c r="E25" s="12" t="s">
        <v>477</v>
      </c>
      <c r="F25" s="12" t="s">
        <v>193</v>
      </c>
      <c r="G25" s="12" t="s">
        <v>195</v>
      </c>
      <c r="H25" s="12" t="s">
        <v>197</v>
      </c>
      <c r="I25" s="12" t="s">
        <v>199</v>
      </c>
      <c r="J25" s="12" t="s">
        <v>478</v>
      </c>
      <c r="K25" s="13" t="s">
        <v>479</v>
      </c>
      <c r="L25" s="72"/>
      <c r="M25" s="16" t="s">
        <v>23</v>
      </c>
    </row>
    <row r="26" spans="1:13" ht="88" customHeight="1">
      <c r="A26" s="12" t="s">
        <v>498</v>
      </c>
      <c r="B26" s="12" t="s">
        <v>123</v>
      </c>
      <c r="C26" s="12" t="s">
        <v>125</v>
      </c>
      <c r="D26" s="12" t="s">
        <v>481</v>
      </c>
      <c r="E26" s="12" t="s">
        <v>482</v>
      </c>
      <c r="F26" s="12" t="s">
        <v>193</v>
      </c>
      <c r="G26" s="12" t="s">
        <v>195</v>
      </c>
      <c r="H26" s="12" t="s">
        <v>197</v>
      </c>
      <c r="I26" s="12" t="s">
        <v>199</v>
      </c>
      <c r="J26" s="12" t="s">
        <v>483</v>
      </c>
      <c r="K26" s="13" t="s">
        <v>484</v>
      </c>
      <c r="L26" s="72"/>
      <c r="M26" s="16" t="s">
        <v>23</v>
      </c>
    </row>
    <row r="27" spans="1:13" ht="88" customHeight="1">
      <c r="A27" s="12" t="s">
        <v>499</v>
      </c>
      <c r="B27" s="12" t="s">
        <v>138</v>
      </c>
      <c r="C27" s="12" t="s">
        <v>140</v>
      </c>
      <c r="D27" s="12" t="s">
        <v>451</v>
      </c>
      <c r="E27" s="12" t="s">
        <v>452</v>
      </c>
      <c r="F27" s="12" t="s">
        <v>193</v>
      </c>
      <c r="G27" s="12" t="s">
        <v>195</v>
      </c>
      <c r="H27" s="12" t="s">
        <v>197</v>
      </c>
      <c r="I27" s="12" t="s">
        <v>199</v>
      </c>
      <c r="J27" s="12" t="s">
        <v>453</v>
      </c>
      <c r="K27" s="13" t="s">
        <v>454</v>
      </c>
      <c r="L27" s="72"/>
      <c r="M27" s="16" t="s">
        <v>23</v>
      </c>
    </row>
    <row r="28" spans="1:13" ht="88" customHeight="1">
      <c r="A28" s="12" t="s">
        <v>500</v>
      </c>
      <c r="B28" s="12" t="s">
        <v>138</v>
      </c>
      <c r="C28" s="12" t="s">
        <v>140</v>
      </c>
      <c r="D28" s="12" t="s">
        <v>456</v>
      </c>
      <c r="E28" s="12" t="s">
        <v>457</v>
      </c>
      <c r="F28" s="12" t="s">
        <v>193</v>
      </c>
      <c r="G28" s="12" t="s">
        <v>195</v>
      </c>
      <c r="H28" s="12" t="s">
        <v>197</v>
      </c>
      <c r="I28" s="12" t="s">
        <v>199</v>
      </c>
      <c r="J28" s="12" t="s">
        <v>458</v>
      </c>
      <c r="K28" s="13" t="s">
        <v>459</v>
      </c>
      <c r="L28" s="72"/>
      <c r="M28" s="16" t="s">
        <v>23</v>
      </c>
    </row>
    <row r="29" spans="1:13" ht="88" customHeight="1">
      <c r="A29" s="12" t="s">
        <v>501</v>
      </c>
      <c r="B29" s="12" t="s">
        <v>138</v>
      </c>
      <c r="C29" s="12" t="s">
        <v>140</v>
      </c>
      <c r="D29" s="12" t="s">
        <v>461</v>
      </c>
      <c r="E29" s="12" t="s">
        <v>462</v>
      </c>
      <c r="F29" s="12" t="s">
        <v>193</v>
      </c>
      <c r="G29" s="12" t="s">
        <v>195</v>
      </c>
      <c r="H29" s="12" t="s">
        <v>197</v>
      </c>
      <c r="I29" s="12" t="s">
        <v>199</v>
      </c>
      <c r="J29" s="12" t="s">
        <v>463</v>
      </c>
      <c r="K29" s="13" t="s">
        <v>464</v>
      </c>
      <c r="L29" s="72"/>
      <c r="M29" s="16" t="s">
        <v>23</v>
      </c>
    </row>
    <row r="30" spans="1:13" ht="88" customHeight="1">
      <c r="A30" s="12" t="s">
        <v>502</v>
      </c>
      <c r="B30" s="12" t="s">
        <v>138</v>
      </c>
      <c r="C30" s="12" t="s">
        <v>140</v>
      </c>
      <c r="D30" s="12" t="s">
        <v>466</v>
      </c>
      <c r="E30" s="12" t="s">
        <v>467</v>
      </c>
      <c r="F30" s="12" t="s">
        <v>197</v>
      </c>
      <c r="G30" s="12" t="s">
        <v>195</v>
      </c>
      <c r="H30" s="12" t="s">
        <v>193</v>
      </c>
      <c r="I30" s="12" t="s">
        <v>199</v>
      </c>
      <c r="J30" s="12" t="s">
        <v>468</v>
      </c>
      <c r="K30" s="13" t="s">
        <v>469</v>
      </c>
      <c r="L30" s="72"/>
      <c r="M30" s="16" t="s">
        <v>23</v>
      </c>
    </row>
    <row r="31" spans="1:13" ht="88" customHeight="1">
      <c r="A31" s="12" t="s">
        <v>503</v>
      </c>
      <c r="B31" s="12" t="s">
        <v>138</v>
      </c>
      <c r="C31" s="12" t="s">
        <v>140</v>
      </c>
      <c r="D31" s="12" t="s">
        <v>471</v>
      </c>
      <c r="E31" s="12" t="s">
        <v>472</v>
      </c>
      <c r="F31" s="12" t="s">
        <v>197</v>
      </c>
      <c r="G31" s="12" t="s">
        <v>195</v>
      </c>
      <c r="H31" s="12" t="s">
        <v>193</v>
      </c>
      <c r="I31" s="12" t="s">
        <v>199</v>
      </c>
      <c r="J31" s="12" t="s">
        <v>473</v>
      </c>
      <c r="K31" s="13" t="s">
        <v>474</v>
      </c>
      <c r="L31" s="72"/>
      <c r="M31" s="16" t="s">
        <v>23</v>
      </c>
    </row>
    <row r="32" spans="1:13" ht="88" customHeight="1">
      <c r="A32" s="12" t="s">
        <v>504</v>
      </c>
      <c r="B32" s="12" t="s">
        <v>138</v>
      </c>
      <c r="C32" s="12" t="s">
        <v>140</v>
      </c>
      <c r="D32" s="12" t="s">
        <v>476</v>
      </c>
      <c r="E32" s="12" t="s">
        <v>477</v>
      </c>
      <c r="F32" s="12" t="s">
        <v>193</v>
      </c>
      <c r="G32" s="12" t="s">
        <v>195</v>
      </c>
      <c r="H32" s="12" t="s">
        <v>197</v>
      </c>
      <c r="I32" s="12" t="s">
        <v>199</v>
      </c>
      <c r="J32" s="12" t="s">
        <v>478</v>
      </c>
      <c r="K32" s="13" t="s">
        <v>479</v>
      </c>
      <c r="L32" s="72"/>
      <c r="M32" s="16" t="s">
        <v>23</v>
      </c>
    </row>
    <row r="33" spans="1:13" ht="88" customHeight="1">
      <c r="A33" s="12" t="s">
        <v>505</v>
      </c>
      <c r="B33" s="12" t="s">
        <v>138</v>
      </c>
      <c r="C33" s="12" t="s">
        <v>140</v>
      </c>
      <c r="D33" s="12" t="s">
        <v>481</v>
      </c>
      <c r="E33" s="12" t="s">
        <v>482</v>
      </c>
      <c r="F33" s="12" t="s">
        <v>193</v>
      </c>
      <c r="G33" s="12" t="s">
        <v>195</v>
      </c>
      <c r="H33" s="12" t="s">
        <v>197</v>
      </c>
      <c r="I33" s="12" t="s">
        <v>199</v>
      </c>
      <c r="J33" s="12" t="s">
        <v>483</v>
      </c>
      <c r="K33" s="13" t="s">
        <v>484</v>
      </c>
      <c r="L33" s="72"/>
      <c r="M33" s="16" t="s">
        <v>23</v>
      </c>
    </row>
    <row r="34" spans="1:13" ht="88" customHeight="1">
      <c r="A34" s="12" t="s">
        <v>506</v>
      </c>
      <c r="B34" s="12" t="s">
        <v>153</v>
      </c>
      <c r="C34" s="12" t="s">
        <v>155</v>
      </c>
      <c r="D34" s="12" t="s">
        <v>451</v>
      </c>
      <c r="E34" s="12" t="s">
        <v>452</v>
      </c>
      <c r="F34" s="12" t="s">
        <v>193</v>
      </c>
      <c r="G34" s="12" t="s">
        <v>195</v>
      </c>
      <c r="H34" s="12" t="s">
        <v>197</v>
      </c>
      <c r="I34" s="12" t="s">
        <v>199</v>
      </c>
      <c r="J34" s="12" t="s">
        <v>453</v>
      </c>
      <c r="K34" s="13" t="s">
        <v>454</v>
      </c>
      <c r="L34" s="72" t="s">
        <v>619</v>
      </c>
      <c r="M34" s="16" t="s">
        <v>618</v>
      </c>
    </row>
    <row r="35" spans="1:13" ht="88" customHeight="1">
      <c r="A35" s="12" t="s">
        <v>507</v>
      </c>
      <c r="B35" s="12" t="s">
        <v>153</v>
      </c>
      <c r="C35" s="12" t="s">
        <v>155</v>
      </c>
      <c r="D35" s="12" t="s">
        <v>456</v>
      </c>
      <c r="E35" s="12" t="s">
        <v>457</v>
      </c>
      <c r="F35" s="12" t="s">
        <v>193</v>
      </c>
      <c r="G35" s="12" t="s">
        <v>195</v>
      </c>
      <c r="H35" s="12" t="s">
        <v>197</v>
      </c>
      <c r="I35" s="12" t="s">
        <v>199</v>
      </c>
      <c r="J35" s="12" t="s">
        <v>458</v>
      </c>
      <c r="K35" s="13" t="s">
        <v>459</v>
      </c>
      <c r="L35" s="72"/>
      <c r="M35" s="16" t="s">
        <v>23</v>
      </c>
    </row>
    <row r="36" spans="1:13" ht="88" customHeight="1">
      <c r="A36" s="12" t="s">
        <v>508</v>
      </c>
      <c r="B36" s="12" t="s">
        <v>153</v>
      </c>
      <c r="C36" s="12" t="s">
        <v>155</v>
      </c>
      <c r="D36" s="12" t="s">
        <v>461</v>
      </c>
      <c r="E36" s="12" t="s">
        <v>462</v>
      </c>
      <c r="F36" s="12" t="s">
        <v>193</v>
      </c>
      <c r="G36" s="12" t="s">
        <v>195</v>
      </c>
      <c r="H36" s="12" t="s">
        <v>197</v>
      </c>
      <c r="I36" s="12" t="s">
        <v>199</v>
      </c>
      <c r="J36" s="12" t="s">
        <v>463</v>
      </c>
      <c r="K36" s="13" t="s">
        <v>464</v>
      </c>
      <c r="L36" s="72"/>
      <c r="M36" s="16" t="s">
        <v>23</v>
      </c>
    </row>
    <row r="37" spans="1:13" ht="88" customHeight="1">
      <c r="A37" s="12" t="s">
        <v>509</v>
      </c>
      <c r="B37" s="12" t="s">
        <v>153</v>
      </c>
      <c r="C37" s="12" t="s">
        <v>155</v>
      </c>
      <c r="D37" s="12" t="s">
        <v>466</v>
      </c>
      <c r="E37" s="12" t="s">
        <v>467</v>
      </c>
      <c r="F37" s="12" t="s">
        <v>197</v>
      </c>
      <c r="G37" s="12" t="s">
        <v>195</v>
      </c>
      <c r="H37" s="12" t="s">
        <v>193</v>
      </c>
      <c r="I37" s="12" t="s">
        <v>199</v>
      </c>
      <c r="J37" s="12" t="s">
        <v>468</v>
      </c>
      <c r="K37" s="13" t="s">
        <v>469</v>
      </c>
      <c r="L37" s="72"/>
      <c r="M37" s="16" t="s">
        <v>23</v>
      </c>
    </row>
    <row r="38" spans="1:13" ht="88" customHeight="1">
      <c r="A38" s="12" t="s">
        <v>510</v>
      </c>
      <c r="B38" s="12" t="s">
        <v>153</v>
      </c>
      <c r="C38" s="12" t="s">
        <v>155</v>
      </c>
      <c r="D38" s="12" t="s">
        <v>471</v>
      </c>
      <c r="E38" s="12" t="s">
        <v>472</v>
      </c>
      <c r="F38" s="12" t="s">
        <v>197</v>
      </c>
      <c r="G38" s="12" t="s">
        <v>195</v>
      </c>
      <c r="H38" s="12" t="s">
        <v>193</v>
      </c>
      <c r="I38" s="12" t="s">
        <v>199</v>
      </c>
      <c r="J38" s="12" t="s">
        <v>473</v>
      </c>
      <c r="K38" s="13" t="s">
        <v>474</v>
      </c>
      <c r="L38" s="72"/>
      <c r="M38" s="16" t="s">
        <v>23</v>
      </c>
    </row>
    <row r="39" spans="1:13" ht="88" customHeight="1">
      <c r="A39" s="12" t="s">
        <v>511</v>
      </c>
      <c r="B39" s="12" t="s">
        <v>153</v>
      </c>
      <c r="C39" s="12" t="s">
        <v>155</v>
      </c>
      <c r="D39" s="12" t="s">
        <v>476</v>
      </c>
      <c r="E39" s="12" t="s">
        <v>477</v>
      </c>
      <c r="F39" s="12" t="s">
        <v>193</v>
      </c>
      <c r="G39" s="12" t="s">
        <v>195</v>
      </c>
      <c r="H39" s="12" t="s">
        <v>197</v>
      </c>
      <c r="I39" s="12" t="s">
        <v>199</v>
      </c>
      <c r="J39" s="12" t="s">
        <v>478</v>
      </c>
      <c r="K39" s="13" t="s">
        <v>479</v>
      </c>
      <c r="L39" s="72"/>
      <c r="M39" s="16" t="s">
        <v>23</v>
      </c>
    </row>
    <row r="40" spans="1:13" ht="88" customHeight="1">
      <c r="A40" s="12" t="s">
        <v>512</v>
      </c>
      <c r="B40" s="12" t="s">
        <v>153</v>
      </c>
      <c r="C40" s="12" t="s">
        <v>155</v>
      </c>
      <c r="D40" s="12" t="s">
        <v>481</v>
      </c>
      <c r="E40" s="12" t="s">
        <v>482</v>
      </c>
      <c r="F40" s="12" t="s">
        <v>193</v>
      </c>
      <c r="G40" s="12" t="s">
        <v>195</v>
      </c>
      <c r="H40" s="12" t="s">
        <v>197</v>
      </c>
      <c r="I40" s="12" t="s">
        <v>199</v>
      </c>
      <c r="J40" s="12" t="s">
        <v>483</v>
      </c>
      <c r="K40" s="13" t="s">
        <v>484</v>
      </c>
      <c r="L40" s="72"/>
      <c r="M40" s="16" t="s">
        <v>23</v>
      </c>
    </row>
  </sheetData>
  <mergeCells count="2">
    <mergeCell ref="A1:M2"/>
    <mergeCell ref="A3:M3"/>
  </mergeCells>
  <conditionalFormatting sqref="M6:M40">
    <cfRule type="containsText" dxfId="13" priority="1" operator="containsText" text="Pass"/>
    <cfRule type="containsText" dxfId="12" priority="2" operator="containsText" text="Fail"/>
    <cfRule type="containsText" dxfId="11" priority="3" operator="containsText" text="Blocked"/>
    <cfRule type="containsText" dxfId="10" priority="4" operator="containsText" text="Not Run"/>
  </conditionalFormatting>
  <dataValidations count="1">
    <dataValidation type="list" sqref="M6:M40" xr:uid="{00000000-0002-0000-0500-000000000000}">
      <formula1>"Not Run,Pass,Fail,Blocked"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7"/>
  <sheetViews>
    <sheetView showGridLines="0" tabSelected="1" topLeftCell="A9" workbookViewId="0">
      <selection activeCell="F6" sqref="F6"/>
    </sheetView>
  </sheetViews>
  <sheetFormatPr baseColWidth="10" defaultColWidth="8.83203125" defaultRowHeight="14"/>
  <cols>
    <col min="1" max="1" width="12" customWidth="1"/>
    <col min="2" max="2" width="24" customWidth="1"/>
    <col min="3" max="4" width="38" customWidth="1"/>
    <col min="5" max="5" width="62" customWidth="1"/>
    <col min="6" max="6" width="55" customWidth="1"/>
    <col min="7" max="7" width="18" customWidth="1"/>
    <col min="8" max="8" width="12" customWidth="1"/>
    <col min="9" max="9" width="35" customWidth="1"/>
  </cols>
  <sheetData>
    <row r="1" spans="1:9" ht="28" customHeight="1">
      <c r="A1" s="65" t="s">
        <v>513</v>
      </c>
      <c r="B1" s="65"/>
      <c r="C1" s="65"/>
      <c r="D1" s="65"/>
      <c r="E1" s="65"/>
      <c r="F1" s="65"/>
      <c r="G1" s="65"/>
      <c r="H1" s="65"/>
      <c r="I1" s="65"/>
    </row>
    <row r="2" spans="1:9" ht="28" customHeight="1">
      <c r="A2" s="65"/>
      <c r="B2" s="65"/>
      <c r="C2" s="65"/>
      <c r="D2" s="65"/>
      <c r="E2" s="65"/>
      <c r="F2" s="65"/>
      <c r="G2" s="65"/>
      <c r="H2" s="65"/>
      <c r="I2" s="65"/>
    </row>
    <row r="3" spans="1:9" ht="34" customHeight="1">
      <c r="A3" s="63" t="s">
        <v>514</v>
      </c>
      <c r="B3" s="63"/>
      <c r="C3" s="63"/>
      <c r="D3" s="63"/>
      <c r="E3" s="63"/>
      <c r="F3" s="63"/>
      <c r="G3" s="63"/>
      <c r="H3" s="63"/>
      <c r="I3" s="63"/>
    </row>
    <row r="4" spans="1:9">
      <c r="A4" s="4"/>
      <c r="B4" s="4"/>
      <c r="C4" s="4"/>
      <c r="D4" s="4"/>
      <c r="E4" s="4"/>
      <c r="F4" s="4"/>
      <c r="G4" s="4"/>
      <c r="H4" s="4"/>
      <c r="I4" s="4"/>
    </row>
    <row r="5" spans="1:9" ht="42" customHeight="1">
      <c r="A5" s="1" t="s">
        <v>169</v>
      </c>
      <c r="B5" s="2" t="s">
        <v>515</v>
      </c>
      <c r="C5" s="2" t="s">
        <v>516</v>
      </c>
      <c r="D5" s="2" t="s">
        <v>37</v>
      </c>
      <c r="E5" s="2" t="s">
        <v>14</v>
      </c>
      <c r="F5" s="2" t="s">
        <v>190</v>
      </c>
      <c r="G5" s="2" t="s">
        <v>191</v>
      </c>
      <c r="H5" s="2" t="s">
        <v>517</v>
      </c>
      <c r="I5" s="3" t="s">
        <v>92</v>
      </c>
    </row>
    <row r="6" spans="1:9" ht="66" customHeight="1">
      <c r="A6" s="6" t="s">
        <v>518</v>
      </c>
      <c r="B6" s="6" t="s">
        <v>519</v>
      </c>
      <c r="C6" s="6" t="s">
        <v>520</v>
      </c>
      <c r="D6" s="6" t="s">
        <v>521</v>
      </c>
      <c r="E6" s="7" t="s">
        <v>522</v>
      </c>
      <c r="F6" s="9"/>
      <c r="G6" s="10" t="s">
        <v>23</v>
      </c>
      <c r="H6" s="6" t="s">
        <v>523</v>
      </c>
      <c r="I6" s="11"/>
    </row>
    <row r="7" spans="1:9" ht="66" customHeight="1">
      <c r="A7" s="12" t="s">
        <v>524</v>
      </c>
      <c r="B7" s="12" t="s">
        <v>525</v>
      </c>
      <c r="C7" s="12" t="s">
        <v>526</v>
      </c>
      <c r="D7" s="12" t="s">
        <v>527</v>
      </c>
      <c r="E7" s="13" t="s">
        <v>528</v>
      </c>
      <c r="F7" s="15"/>
      <c r="G7" s="16" t="s">
        <v>23</v>
      </c>
      <c r="H7" s="12" t="s">
        <v>529</v>
      </c>
      <c r="I7" s="17"/>
    </row>
    <row r="8" spans="1:9" ht="66" customHeight="1">
      <c r="A8" s="12" t="s">
        <v>530</v>
      </c>
      <c r="B8" s="12" t="s">
        <v>531</v>
      </c>
      <c r="C8" s="12" t="s">
        <v>532</v>
      </c>
      <c r="D8" s="12" t="s">
        <v>533</v>
      </c>
      <c r="E8" s="13" t="s">
        <v>534</v>
      </c>
      <c r="F8" s="15"/>
      <c r="G8" s="16" t="s">
        <v>23</v>
      </c>
      <c r="H8" s="12" t="s">
        <v>529</v>
      </c>
      <c r="I8" s="17"/>
    </row>
    <row r="9" spans="1:9" ht="66" customHeight="1">
      <c r="A9" s="12" t="s">
        <v>535</v>
      </c>
      <c r="B9" s="12" t="s">
        <v>536</v>
      </c>
      <c r="C9" s="12" t="s">
        <v>537</v>
      </c>
      <c r="D9" s="12" t="s">
        <v>533</v>
      </c>
      <c r="E9" s="13" t="s">
        <v>538</v>
      </c>
      <c r="F9" s="15"/>
      <c r="G9" s="16" t="s">
        <v>23</v>
      </c>
      <c r="H9" s="12" t="s">
        <v>523</v>
      </c>
      <c r="I9" s="17"/>
    </row>
    <row r="10" spans="1:9" ht="66" customHeight="1">
      <c r="A10" s="12" t="s">
        <v>539</v>
      </c>
      <c r="B10" s="12" t="s">
        <v>540</v>
      </c>
      <c r="C10" s="12" t="s">
        <v>541</v>
      </c>
      <c r="D10" s="12" t="s">
        <v>542</v>
      </c>
      <c r="E10" s="13" t="s">
        <v>543</v>
      </c>
      <c r="F10" s="15"/>
      <c r="G10" s="16" t="s">
        <v>23</v>
      </c>
      <c r="H10" s="12" t="s">
        <v>529</v>
      </c>
      <c r="I10" s="17"/>
    </row>
    <row r="11" spans="1:9" ht="66" customHeight="1">
      <c r="A11" s="12" t="s">
        <v>544</v>
      </c>
      <c r="B11" s="12" t="s">
        <v>545</v>
      </c>
      <c r="C11" s="12" t="s">
        <v>546</v>
      </c>
      <c r="D11" s="12" t="s">
        <v>547</v>
      </c>
      <c r="E11" s="13" t="s">
        <v>548</v>
      </c>
      <c r="F11" s="15"/>
      <c r="G11" s="16" t="s">
        <v>23</v>
      </c>
      <c r="H11" s="12" t="s">
        <v>549</v>
      </c>
      <c r="I11" s="17"/>
    </row>
    <row r="12" spans="1:9" ht="66" customHeight="1">
      <c r="A12" s="12" t="s">
        <v>550</v>
      </c>
      <c r="B12" s="12" t="s">
        <v>551</v>
      </c>
      <c r="C12" s="12" t="s">
        <v>552</v>
      </c>
      <c r="D12" s="12" t="s">
        <v>553</v>
      </c>
      <c r="E12" s="13" t="s">
        <v>554</v>
      </c>
      <c r="F12" s="15"/>
      <c r="G12" s="16" t="s">
        <v>23</v>
      </c>
      <c r="H12" s="12" t="s">
        <v>549</v>
      </c>
      <c r="I12" s="17"/>
    </row>
    <row r="13" spans="1:9" ht="66" customHeight="1">
      <c r="A13" s="12" t="s">
        <v>555</v>
      </c>
      <c r="B13" s="12" t="s">
        <v>556</v>
      </c>
      <c r="C13" s="12" t="s">
        <v>557</v>
      </c>
      <c r="D13" s="12" t="s">
        <v>558</v>
      </c>
      <c r="E13" s="13" t="s">
        <v>559</v>
      </c>
      <c r="F13" s="15"/>
      <c r="G13" s="16" t="s">
        <v>23</v>
      </c>
      <c r="H13" s="12" t="s">
        <v>523</v>
      </c>
      <c r="I13" s="17"/>
    </row>
    <row r="14" spans="1:9" ht="66" customHeight="1">
      <c r="A14" s="12" t="s">
        <v>560</v>
      </c>
      <c r="B14" s="12" t="s">
        <v>556</v>
      </c>
      <c r="C14" s="12" t="s">
        <v>561</v>
      </c>
      <c r="D14" s="12" t="s">
        <v>558</v>
      </c>
      <c r="E14" s="13" t="s">
        <v>562</v>
      </c>
      <c r="F14" s="15"/>
      <c r="G14" s="16" t="s">
        <v>23</v>
      </c>
      <c r="H14" s="12" t="s">
        <v>523</v>
      </c>
      <c r="I14" s="17"/>
    </row>
    <row r="15" spans="1:9" ht="66" customHeight="1">
      <c r="A15" s="12" t="s">
        <v>563</v>
      </c>
      <c r="B15" s="12" t="s">
        <v>556</v>
      </c>
      <c r="C15" s="12" t="s">
        <v>564</v>
      </c>
      <c r="D15" s="12" t="s">
        <v>558</v>
      </c>
      <c r="E15" s="13" t="s">
        <v>562</v>
      </c>
      <c r="F15" s="15"/>
      <c r="G15" s="16" t="s">
        <v>23</v>
      </c>
      <c r="H15" s="12" t="s">
        <v>523</v>
      </c>
      <c r="I15" s="17"/>
    </row>
    <row r="16" spans="1:9" ht="66" customHeight="1">
      <c r="A16" s="12" t="s">
        <v>565</v>
      </c>
      <c r="B16" s="12" t="s">
        <v>556</v>
      </c>
      <c r="C16" s="12" t="s">
        <v>566</v>
      </c>
      <c r="D16" s="12" t="s">
        <v>558</v>
      </c>
      <c r="E16" s="13" t="s">
        <v>562</v>
      </c>
      <c r="F16" s="15"/>
      <c r="G16" s="16" t="s">
        <v>23</v>
      </c>
      <c r="H16" s="12" t="s">
        <v>523</v>
      </c>
      <c r="I16" s="17"/>
    </row>
    <row r="17" spans="1:9" ht="66" customHeight="1">
      <c r="A17" s="12" t="s">
        <v>567</v>
      </c>
      <c r="B17" s="12" t="s">
        <v>556</v>
      </c>
      <c r="C17" s="12" t="s">
        <v>568</v>
      </c>
      <c r="D17" s="12" t="s">
        <v>558</v>
      </c>
      <c r="E17" s="13" t="s">
        <v>569</v>
      </c>
      <c r="F17" s="15"/>
      <c r="G17" s="16" t="s">
        <v>23</v>
      </c>
      <c r="H17" s="12" t="s">
        <v>523</v>
      </c>
      <c r="I17" s="17"/>
    </row>
    <row r="18" spans="1:9" ht="66" customHeight="1">
      <c r="A18" s="12" t="s">
        <v>570</v>
      </c>
      <c r="B18" s="12" t="s">
        <v>571</v>
      </c>
      <c r="C18" s="12" t="s">
        <v>572</v>
      </c>
      <c r="D18" s="12" t="s">
        <v>573</v>
      </c>
      <c r="E18" s="13" t="s">
        <v>574</v>
      </c>
      <c r="F18" s="15"/>
      <c r="G18" s="16" t="s">
        <v>23</v>
      </c>
      <c r="H18" s="12" t="s">
        <v>523</v>
      </c>
      <c r="I18" s="17"/>
    </row>
    <row r="19" spans="1:9" ht="66" customHeight="1">
      <c r="A19" s="12" t="s">
        <v>575</v>
      </c>
      <c r="B19" s="12" t="s">
        <v>576</v>
      </c>
      <c r="C19" s="12" t="s">
        <v>577</v>
      </c>
      <c r="D19" s="12" t="s">
        <v>578</v>
      </c>
      <c r="E19" s="13" t="s">
        <v>579</v>
      </c>
      <c r="F19" s="15"/>
      <c r="G19" s="16" t="s">
        <v>23</v>
      </c>
      <c r="H19" s="12" t="s">
        <v>523</v>
      </c>
      <c r="I19" s="17"/>
    </row>
    <row r="20" spans="1:9" ht="66" customHeight="1">
      <c r="A20" s="12" t="s">
        <v>580</v>
      </c>
      <c r="B20" s="12" t="s">
        <v>581</v>
      </c>
      <c r="C20" s="12" t="s">
        <v>582</v>
      </c>
      <c r="D20" s="12" t="s">
        <v>583</v>
      </c>
      <c r="E20" s="13" t="s">
        <v>584</v>
      </c>
      <c r="F20" s="15"/>
      <c r="G20" s="16" t="s">
        <v>23</v>
      </c>
      <c r="H20" s="12" t="s">
        <v>523</v>
      </c>
      <c r="I20" s="17"/>
    </row>
    <row r="21" spans="1:9" ht="66" customHeight="1">
      <c r="A21" s="12" t="s">
        <v>585</v>
      </c>
      <c r="B21" s="12" t="s">
        <v>586</v>
      </c>
      <c r="C21" s="12" t="s">
        <v>587</v>
      </c>
      <c r="D21" s="12" t="s">
        <v>588</v>
      </c>
      <c r="E21" s="13" t="s">
        <v>589</v>
      </c>
      <c r="F21" s="15"/>
      <c r="G21" s="16" t="s">
        <v>23</v>
      </c>
      <c r="H21" s="12" t="s">
        <v>523</v>
      </c>
      <c r="I21" s="17"/>
    </row>
    <row r="22" spans="1:9" ht="66" customHeight="1">
      <c r="A22" s="12" t="s">
        <v>590</v>
      </c>
      <c r="B22" s="12" t="s">
        <v>591</v>
      </c>
      <c r="C22" s="12" t="s">
        <v>592</v>
      </c>
      <c r="D22" s="12" t="s">
        <v>593</v>
      </c>
      <c r="E22" s="13" t="s">
        <v>594</v>
      </c>
      <c r="F22" s="15"/>
      <c r="G22" s="16" t="s">
        <v>23</v>
      </c>
      <c r="H22" s="12" t="s">
        <v>523</v>
      </c>
      <c r="I22" s="17"/>
    </row>
    <row r="23" spans="1:9" ht="66" customHeight="1">
      <c r="A23" s="12" t="s">
        <v>595</v>
      </c>
      <c r="B23" s="12" t="s">
        <v>596</v>
      </c>
      <c r="C23" s="12" t="s">
        <v>597</v>
      </c>
      <c r="D23" s="12" t="s">
        <v>598</v>
      </c>
      <c r="E23" s="13" t="s">
        <v>599</v>
      </c>
      <c r="F23" s="15"/>
      <c r="G23" s="16" t="s">
        <v>23</v>
      </c>
      <c r="H23" s="12" t="s">
        <v>529</v>
      </c>
      <c r="I23" s="17"/>
    </row>
    <row r="24" spans="1:9" ht="66" customHeight="1">
      <c r="A24" s="12" t="s">
        <v>600</v>
      </c>
      <c r="B24" s="12" t="s">
        <v>601</v>
      </c>
      <c r="C24" s="12" t="s">
        <v>597</v>
      </c>
      <c r="D24" s="12" t="s">
        <v>602</v>
      </c>
      <c r="E24" s="13" t="s">
        <v>603</v>
      </c>
      <c r="F24" s="15"/>
      <c r="G24" s="16" t="s">
        <v>23</v>
      </c>
      <c r="H24" s="12" t="s">
        <v>529</v>
      </c>
      <c r="I24" s="17"/>
    </row>
    <row r="25" spans="1:9" ht="66" customHeight="1">
      <c r="A25" s="12" t="s">
        <v>604</v>
      </c>
      <c r="B25" s="12" t="s">
        <v>605</v>
      </c>
      <c r="C25" s="12" t="s">
        <v>606</v>
      </c>
      <c r="D25" s="12" t="s">
        <v>607</v>
      </c>
      <c r="E25" s="13" t="s">
        <v>608</v>
      </c>
      <c r="F25" s="15"/>
      <c r="G25" s="16" t="s">
        <v>23</v>
      </c>
      <c r="H25" s="12" t="s">
        <v>523</v>
      </c>
      <c r="I25" s="17"/>
    </row>
    <row r="26" spans="1:9" ht="66" customHeight="1">
      <c r="A26" s="12" t="s">
        <v>609</v>
      </c>
      <c r="B26" s="12" t="s">
        <v>610</v>
      </c>
      <c r="C26" s="12" t="s">
        <v>611</v>
      </c>
      <c r="D26" s="12" t="s">
        <v>593</v>
      </c>
      <c r="E26" s="13" t="s">
        <v>612</v>
      </c>
      <c r="F26" s="15"/>
      <c r="G26" s="16" t="s">
        <v>23</v>
      </c>
      <c r="H26" s="12" t="s">
        <v>529</v>
      </c>
      <c r="I26" s="17"/>
    </row>
    <row r="27" spans="1:9" ht="66" customHeight="1">
      <c r="A27" s="12" t="s">
        <v>613</v>
      </c>
      <c r="B27" s="12" t="s">
        <v>614</v>
      </c>
      <c r="C27" s="12" t="s">
        <v>615</v>
      </c>
      <c r="D27" s="12" t="s">
        <v>616</v>
      </c>
      <c r="E27" s="13" t="s">
        <v>617</v>
      </c>
      <c r="F27" s="15"/>
      <c r="G27" s="16" t="s">
        <v>23</v>
      </c>
      <c r="H27" s="12" t="s">
        <v>529</v>
      </c>
      <c r="I27" s="17"/>
    </row>
  </sheetData>
  <mergeCells count="2">
    <mergeCell ref="A1:I2"/>
    <mergeCell ref="A3:I3"/>
  </mergeCells>
  <conditionalFormatting sqref="G6:G27">
    <cfRule type="containsText" dxfId="9" priority="1" operator="containsText" text="Pass"/>
    <cfRule type="containsText" dxfId="8" priority="2" operator="containsText" text="Fail"/>
    <cfRule type="containsText" dxfId="7" priority="3" operator="containsText" text="Blocked"/>
    <cfRule type="containsText" dxfId="6" priority="4" operator="containsText" text="Not Run"/>
  </conditionalFormatting>
  <dataValidations count="2">
    <dataValidation type="list" sqref="G6:G27" xr:uid="{00000000-0002-0000-0600-000000000000}">
      <formula1>"Not Run,Pass,Fail,Blocked"</formula1>
    </dataValidation>
    <dataValidation type="list" sqref="H6:H27" xr:uid="{00000000-0002-0000-0600-000001000000}">
      <formula1>"Critical,Major,Minor"</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Test Guide</vt:lpstr>
      <vt:lpstr>Mission Evidence Map</vt:lpstr>
      <vt:lpstr>Ranking Stress Tests</vt:lpstr>
      <vt:lpstr>Validation Branch Tests</vt:lpstr>
      <vt:lpstr>Evidence Mutation Tests</vt:lpstr>
      <vt:lpstr>Session Flow 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Sumit Barua</cp:lastModifiedBy>
  <dcterms:modified xsi:type="dcterms:W3CDTF">2026-08-26T18:53:25Z</dcterms:modified>
</cp:coreProperties>
</file>